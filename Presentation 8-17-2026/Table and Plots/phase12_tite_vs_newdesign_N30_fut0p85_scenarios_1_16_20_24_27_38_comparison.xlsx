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77058c69e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" sheetId="1" r:id="R8d5ba49abf1541b9"/>
    <x:sheet xmlns:r="http://schemas.openxmlformats.org/officeDocument/2006/relationships" name="Comparison" sheetId="2" r:id="R6efaf9567c90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9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0"/>
      <x:color rgb="FF173F5F"/>
      <x:name val="Carlito"/>
    </x:font>
    <x:font>
      <x:i/>
      <x:sz val="9"/>
      <x:color rgb="FF7C2D12"/>
      <x:name val="Carlito"/>
    </x:font>
    <x:font>
      <x:b/>
      <x:sz val="11"/>
      <x:color rgb="FF173F5F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DF2F7"/>
      </x:patternFill>
    </x:fill>
    <x:fill>
      <x:patternFill patternType="solid">
        <x:fgColor rgb="FFFFF7ED"/>
      </x:patternFill>
    </x:fill>
    <x:fill>
      <x:patternFill patternType="solid">
        <x:fgColor rgb="FF0F766E"/>
      </x:patternFill>
    </x:fill>
    <x:fill>
      <x:patternFill patternType="solid">
        <x:fgColor rgb="FFD9E2F3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8">
    <x:border/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F5F"/>
      </x:left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left style="thin">
        <x:color rgb="FF173F5F"/>
      </x:left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6" xfId="0" applyNumberFormat="1" applyFont="1" applyFill="1" applyBorder="1" applyAlignment="1">
      <x:alignment horizontal="center"/>
    </x:xf>
    <x:xf numFmtId="0" fontId="2" fillId="5" borderId="7" xfId="0" applyNumberFormat="1" applyFont="1" applyFill="1" applyBorder="1" applyAlignment="1">
      <x:alignment horizontal="center"/>
    </x:xf>
    <x:xf numFmtId="0" fontId="2" fillId="5" borderId="6" xfId="0" applyNumberFormat="1" applyFont="1" applyFill="1" applyBorder="1" applyAlignment="1">
      <x:alignment horizontal="center" vertical="center"/>
    </x:xf>
    <x:xf numFmtId="0" fontId="2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2" xfId="0" applyNumberFormat="1" applyFont="1" applyFill="1" applyBorder="1" applyAlignment="1">
      <x:alignment vertical="center"/>
    </x:xf>
    <x:xf numFmtId="0" fontId="7" fillId="7" borderId="3" xfId="0" applyNumberFormat="1" applyFont="1" applyFill="1" applyBorder="1" applyAlignment="1">
      <x:alignment vertic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2" xfId="0" applyNumberFormat="1" applyFont="1" applyFill="1" applyBorder="1" applyAlignment="1">
      <x:alignment vertical="center"/>
    </x:xf>
    <x:xf numFmtId="0" fontId="8" fillId="8" borderId="3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2" xfId="0" applyNumberFormat="1" applyFont="1" applyFill="1" applyBorder="1" applyAlignment="1">
      <x:alignment vertical="center"/>
    </x:xf>
    <x:xf numFmtId="0" fontId="7" fillId="9" borderId="3" xfId="0" applyNumberFormat="1" applyFont="1" applyFill="1" applyBorder="1" applyAlignment="1">
      <x:alignment vertical="center"/>
    </x:xf>
    <x:xf numFmtId="0" fontId="7" fillId="9" borderId="2" xfId="0" applyNumberFormat="1" applyFont="1" applyFill="1" applyBorder="1" applyAlignment="1">
      <x:alignment horizontal="center" vertical="center"/>
    </x:xf>
    <x:xf numFmtId="0" fontId="7" fillId="9" borderId="3" xfId="0" applyNumberFormat="1" applyFont="1" applyFill="1" applyBorder="1" applyAlignment="1">
      <x:alignment horizontal="center" vertical="center"/>
    </x:xf>
    <x:xf numFmtId="201" fontId="8" fillId="8" borderId="2" xfId="0" applyNumberFormat="1" applyFont="1" applyFill="1" applyBorder="1" applyAlignment="1">
      <x:alignment horizontal="center" vertical="center"/>
    </x:xf>
    <x:xf numFmtId="201" fontId="7" fillId="9" borderId="2" xfId="0" applyNumberFormat="1" applyFont="1" applyFill="1" applyBorder="1" applyAlignment="1">
      <x:alignment horizontal="center" vertical="center"/>
    </x:xf>
    <x:xf numFmtId="201" fontId="8" fillId="8" borderId="3" xfId="0" applyNumberFormat="1" applyFont="1" applyFill="1" applyBorder="1" applyAlignment="1">
      <x:alignment horizontal="center" vertical="center"/>
    </x:xf>
    <x:xf numFmtId="201" fontId="7" fillId="9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b2d8354104fa0" /><Relationship Type="http://schemas.openxmlformats.org/officeDocument/2006/relationships/theme" Target="/xl/theme/theme1.xml" Id="Rc0ab2fa224b84aad" /><Relationship Type="http://schemas.openxmlformats.org/officeDocument/2006/relationships/sharedStrings" Target="/xl/sharedStrings.xml" Id="Rafaa5cf02c874ca5" /><Relationship Type="http://schemas.openxmlformats.org/officeDocument/2006/relationships/worksheet" Target="/xl/worksheets/sheet1.xml" Id="R8d5ba49abf1541b9" /><Relationship Type="http://schemas.openxmlformats.org/officeDocument/2006/relationships/worksheet" Target="/xl/worksheets/sheet2.xml" Id="R6efaf9567c904547" /></Relationships>
</file>

<file path=xl/tables/table1.xml><?xml version="1.0" encoding="utf-8"?>
<x:table xmlns:x="http://schemas.openxmlformats.org/spreadsheetml/2006/main" id="1" name="TiteNewdesignSource" displayName="TiteNewdesignSource" ref="A1:AE13" headerRowCount="1" totalsRowCount="0" totalsRowShown="0">
  <x:tableColumns count="31">
    <x:tableColumn id="1" name="Scenario"/>
    <x:tableColumn id="2" name="Method"/>
    <x:tableColumn id="3" name="Available"/>
    <x:tableColumn id="4" name="Source"/>
    <x:tableColumn id="5" name="Trials"/>
    <x:tableColumn id="6" name="True_MTD"/>
    <x:tableColumn id="7" name="True_OBD"/>
    <x:tableColumn id="8" name="No_OBD_Selection_pct"/>
    <x:tableColumn id="9" name="Mean_Total_Administrations"/>
    <x:tableColumn id="10" name="Mean_Total_Unique_Patients"/>
    <x:tableColumn id="11" name="Mean_Duration_days"/>
    <x:tableColumn id="12" name="True_DLT_Dose_1"/>
    <x:tableColumn id="13" name="True_Efficacy_Dose_1"/>
    <x:tableColumn id="14" name="OBD_Selection_Dose_1_pct"/>
    <x:tableColumn id="15" name="Mean_Administrations_Dose_1"/>
    <x:tableColumn id="16" name="True_DLT_Dose_2"/>
    <x:tableColumn id="17" name="True_Efficacy_Dose_2"/>
    <x:tableColumn id="18" name="OBD_Selection_Dose_2_pct"/>
    <x:tableColumn id="19" name="Mean_Administrations_Dose_2"/>
    <x:tableColumn id="20" name="True_DLT_Dose_3"/>
    <x:tableColumn id="21" name="True_Efficacy_Dose_3"/>
    <x:tableColumn id="22" name="OBD_Selection_Dose_3_pct"/>
    <x:tableColumn id="23" name="Mean_Administrations_Dose_3"/>
    <x:tableColumn id="24" name="True_DLT_Dose_4"/>
    <x:tableColumn id="25" name="True_Efficacy_Dose_4"/>
    <x:tableColumn id="26" name="OBD_Selection_Dose_4_pct"/>
    <x:tableColumn id="27" name="Mean_Administrations_Dose_4"/>
    <x:tableColumn id="28" name="True_DLT_Dose_5"/>
    <x:tableColumn id="29" name="True_Efficacy_Dose_5"/>
    <x:tableColumn id="30" name="OBD_Selection_Dose_5_pct"/>
    <x:tableColumn id="31" name="Mean_Administrations_Dose_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fff192070b4c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5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32" customHeight="1">
      <x:c r="A1" s="16" t="str">
        <x:v>Scenario</x:v>
      </x:c>
      <x:c r="B1" s="16" t="str">
        <x:v>Method</x:v>
      </x:c>
      <x:c r="C1" s="16" t="str">
        <x:v>Available</x:v>
      </x:c>
      <x:c r="D1" s="16" t="str">
        <x:v>Source</x:v>
      </x:c>
      <x:c r="E1" s="16" t="str">
        <x:v>Trials</x:v>
      </x:c>
      <x:c r="F1" s="16" t="str">
        <x:v>True_MTD</x:v>
      </x:c>
      <x:c r="G1" s="16" t="str">
        <x:v>True_OBD</x:v>
      </x:c>
      <x:c r="H1" s="16" t="str">
        <x:v>No_OBD_Selection_pct</x:v>
      </x:c>
      <x:c r="I1" s="16" t="str">
        <x:v>Mean_Total_Administrations</x:v>
      </x:c>
      <x:c r="J1" s="16" t="str">
        <x:v>Mean_Total_Unique_Patients</x:v>
      </x:c>
      <x:c r="K1" s="16" t="str">
        <x:v>Mean_Duration_days</x:v>
      </x:c>
      <x:c r="L1" s="16" t="str">
        <x:v>True_DLT_Dose_1</x:v>
      </x:c>
      <x:c r="M1" s="16" t="str">
        <x:v>True_Efficacy_Dose_1</x:v>
      </x:c>
      <x:c r="N1" s="16" t="str">
        <x:v>OBD_Selection_Dose_1_pct</x:v>
      </x:c>
      <x:c r="O1" s="16" t="str">
        <x:v>Mean_Administrations_Dose_1</x:v>
      </x:c>
      <x:c r="P1" s="16" t="str">
        <x:v>True_DLT_Dose_2</x:v>
      </x:c>
      <x:c r="Q1" s="16" t="str">
        <x:v>True_Efficacy_Dose_2</x:v>
      </x:c>
      <x:c r="R1" s="16" t="str">
        <x:v>OBD_Selection_Dose_2_pct</x:v>
      </x:c>
      <x:c r="S1" s="16" t="str">
        <x:v>Mean_Administrations_Dose_2</x:v>
      </x:c>
      <x:c r="T1" s="16" t="str">
        <x:v>True_DLT_Dose_3</x:v>
      </x:c>
      <x:c r="U1" s="16" t="str">
        <x:v>True_Efficacy_Dose_3</x:v>
      </x:c>
      <x:c r="V1" s="16" t="str">
        <x:v>OBD_Selection_Dose_3_pct</x:v>
      </x:c>
      <x:c r="W1" s="16" t="str">
        <x:v>Mean_Administrations_Dose_3</x:v>
      </x:c>
      <x:c r="X1" s="16" t="str">
        <x:v>True_DLT_Dose_4</x:v>
      </x:c>
      <x:c r="Y1" s="16" t="str">
        <x:v>True_Efficacy_Dose_4</x:v>
      </x:c>
      <x:c r="Z1" s="16" t="str">
        <x:v>OBD_Selection_Dose_4_pct</x:v>
      </x:c>
      <x:c r="AA1" s="16" t="str">
        <x:v>Mean_Administrations_Dose_4</x:v>
      </x:c>
      <x:c r="AB1" s="16" t="str">
        <x:v>True_DLT_Dose_5</x:v>
      </x:c>
      <x:c r="AC1" s="16" t="str">
        <x:v>True_Efficacy_Dose_5</x:v>
      </x:c>
      <x:c r="AD1" s="16" t="str">
        <x:v>OBD_Selection_Dose_5_pct</x:v>
      </x:c>
      <x:c r="AE1" s="16" t="str">
        <x:v>Mean_Administrations_Dose_5</x:v>
      </x:c>
    </x:row>
    <x:row r="2">
      <x:c r="A2" s="6" t="str">
        <x:v>1</x:v>
      </x:c>
      <x:c r="B2" s="6" t="str">
        <x:v>TITE design</x:v>
      </x:c>
      <x:c r="C2" s="6" t="str">
        <x:v>True</x:v>
      </x:c>
      <x:c r="D2" s="6" t="str">
        <x:v>TITE_AIDE_phase_I_II_IDX_1001_to_2000_dose_summary.csv</x:v>
      </x:c>
      <x:c r="E2" s="6" t="str">
        <x:v>1000</x:v>
      </x:c>
      <x:c r="F2" s="6" t="str">
        <x:v>1</x:v>
      </x:c>
      <x:c r="G2" s="6" t="str">
        <x:v>1</x:v>
      </x:c>
      <x:c r="H2" s="6" t="str">
        <x:v>71.6</x:v>
      </x:c>
      <x:c r="I2" s="6" t="str">
        <x:v>19.482</x:v>
      </x:c>
      <x:c r="J2" s="6" t="str">
        <x:v>12.359</x:v>
      </x:c>
      <x:c r="K2" s="6" t="str">
        <x:v>710.610670238794</x:v>
      </x:c>
      <x:c r="L2" s="6" t="str">
        <x:v>0.3</x:v>
      </x:c>
      <x:c r="M2" s="6" t="str">
        <x:v>0.05</x:v>
      </x:c>
      <x:c r="N2" s="6" t="str">
        <x:v>18.6</x:v>
      </x:c>
      <x:c r="O2" s="6" t="str">
        <x:v>11.532</x:v>
      </x:c>
      <x:c r="P2" s="6" t="str">
        <x:v>0.35</x:v>
      </x:c>
      <x:c r="Q2" s="6" t="str">
        <x:v>0.06</x:v>
      </x:c>
      <x:c r="R2" s="6" t="str">
        <x:v>8.8</x:v>
      </x:c>
      <x:c r="S2" s="6" t="str">
        <x:v>4.584</x:v>
      </x:c>
      <x:c r="T2" s="6" t="str">
        <x:v>0.4</x:v>
      </x:c>
      <x:c r="U2" s="6" t="str">
        <x:v>0.07</x:v>
      </x:c>
      <x:c r="V2" s="6" t="str">
        <x:v>0.9</x:v>
      </x:c>
      <x:c r="W2" s="6" t="str">
        <x:v>2.172</x:v>
      </x:c>
      <x:c r="X2" s="6" t="str">
        <x:v>0.45</x:v>
      </x:c>
      <x:c r="Y2" s="6" t="str">
        <x:v>0.08</x:v>
      </x:c>
      <x:c r="Z2" s="6" t="str">
        <x:v>0.1</x:v>
      </x:c>
      <x:c r="AA2" s="6" t="str">
        <x:v>0.915</x:v>
      </x:c>
      <x:c r="AB2" s="6" t="str">
        <x:v>0.5</x:v>
      </x:c>
      <x:c r="AC2" s="6" t="str">
        <x:v>0.09</x:v>
      </x:c>
      <x:c r="AD2" s="6" t="str">
        <x:v>0.0</x:v>
      </x:c>
      <x:c r="AE2" s="6" t="str">
        <x:v>0.279</x:v>
      </x:c>
    </x:row>
    <x:row r="3">
      <x:c r="A3" s="6" t="str">
        <x:v>16</x:v>
      </x:c>
      <x:c r="B3" s="6" t="str">
        <x:v>TITE design</x:v>
      </x:c>
      <x:c r="C3" s="6" t="str">
        <x:v>True</x:v>
      </x:c>
      <x:c r="D3" s="6" t="str">
        <x:v>TITE_AIDE_phase_I_II_IDX_1001_to_2000_dose_summary.csv</x:v>
      </x:c>
      <x:c r="E3" s="6" t="str">
        <x:v>1000</x:v>
      </x:c>
      <x:c r="F3" s="6" t="str">
        <x:v>5</x:v>
      </x:c>
      <x:c r="G3" s="6" t="str">
        <x:v>1</x:v>
      </x:c>
      <x:c r="H3" s="6" t="str">
        <x:v>0.10000000000000853</x:v>
      </x:c>
      <x:c r="I3" s="6" t="str">
        <x:v>29.997</x:v>
      </x:c>
      <x:c r="J3" s="6" t="str">
        <x:v>17.912</x:v>
      </x:c>
      <x:c r="K3" s="6" t="str">
        <x:v>1080.03414757293</x:v>
      </x:c>
      <x:c r="L3" s="6" t="str">
        <x:v>0.02</x:v>
      </x:c>
      <x:c r="M3" s="6" t="str">
        <x:v>0.2</x:v>
      </x:c>
      <x:c r="N3" s="6" t="str">
        <x:v>31.4</x:v>
      </x:c>
      <x:c r="O3" s="6" t="str">
        <x:v>7.347</x:v>
      </x:c>
      <x:c r="P3" s="6" t="str">
        <x:v>0.06</x:v>
      </x:c>
      <x:c r="Q3" s="6" t="str">
        <x:v>0.2</x:v>
      </x:c>
      <x:c r="R3" s="6" t="str">
        <x:v>24.3</x:v>
      </x:c>
      <x:c r="S3" s="6" t="str">
        <x:v>6.957</x:v>
      </x:c>
      <x:c r="T3" s="6" t="str">
        <x:v>0.09</x:v>
      </x:c>
      <x:c r="U3" s="6" t="str">
        <x:v>0.2</x:v>
      </x:c>
      <x:c r="V3" s="6" t="str">
        <x:v>19.3</x:v>
      </x:c>
      <x:c r="W3" s="6" t="str">
        <x:v>5.859</x:v>
      </x:c>
      <x:c r="X3" s="6" t="str">
        <x:v>0.14</x:v>
      </x:c>
      <x:c r="Y3" s="6" t="str">
        <x:v>0.2</x:v>
      </x:c>
      <x:c r="Z3" s="6" t="str">
        <x:v>15.1</x:v>
      </x:c>
      <x:c r="AA3" s="6" t="str">
        <x:v>5.514</x:v>
      </x:c>
      <x:c r="AB3" s="6" t="str">
        <x:v>0.26</x:v>
      </x:c>
      <x:c r="AC3" s="6" t="str">
        <x:v>0.2</x:v>
      </x:c>
      <x:c r="AD3" s="6" t="str">
        <x:v>9.8</x:v>
      </x:c>
      <x:c r="AE3" s="6" t="str">
        <x:v>4.32</x:v>
      </x:c>
    </x:row>
    <x:row r="4">
      <x:c r="A4" s="6" t="str">
        <x:v>20</x:v>
      </x:c>
      <x:c r="B4" s="6" t="str">
        <x:v>TITE design</x:v>
      </x:c>
      <x:c r="C4" s="6" t="str">
        <x:v>True</x:v>
      </x:c>
      <x:c r="D4" s="6" t="str">
        <x:v>TITE_AIDE_phase_I_II_IDX_1001_to_2000_dose_summary.csv</x:v>
      </x:c>
      <x:c r="E4" s="6" t="str">
        <x:v>1000</x:v>
      </x:c>
      <x:c r="F4" s="6" t="str">
        <x:v>3</x:v>
      </x:c>
      <x:c r="G4" s="6" t="str">
        <x:v>2</x:v>
      </x:c>
      <x:c r="H4" s="6" t="str">
        <x:v>2.9000000000000057</x:v>
      </x:c>
      <x:c r="I4" s="6" t="str">
        <x:v>29.562</x:v>
      </x:c>
      <x:c r="J4" s="6" t="str">
        <x:v>18.768</x:v>
      </x:c>
      <x:c r="K4" s="6" t="str">
        <x:v>1102.63965162177</x:v>
      </x:c>
      <x:c r="L4" s="6" t="str">
        <x:v>0.07</x:v>
      </x:c>
      <x:c r="M4" s="6" t="str">
        <x:v>0.05</x:v>
      </x:c>
      <x:c r="N4" s="6" t="str">
        <x:v>11.0</x:v>
      </x:c>
      <x:c r="O4" s="6" t="str">
        <x:v>5.37</x:v>
      </x:c>
      <x:c r="P4" s="6" t="str">
        <x:v>0.14</x:v>
      </x:c>
      <x:c r="Q4" s="6" t="str">
        <x:v>0.25</x:v>
      </x:c>
      <x:c r="R4" s="6" t="str">
        <x:v>50.2</x:v>
      </x:c>
      <x:c r="S4" s="6" t="str">
        <x:v>11.082</x:v>
      </x:c>
      <x:c r="T4" s="6" t="str">
        <x:v>0.31</x:v>
      </x:c>
      <x:c r="U4" s="6" t="str">
        <x:v>0.25</x:v>
      </x:c>
      <x:c r="V4" s="6" t="str">
        <x:v>25.9</x:v>
      </x:c>
      <x:c r="W4" s="6" t="str">
        <x:v>7.986</x:v>
      </x:c>
      <x:c r="X4" s="6" t="str">
        <x:v>0.41</x:v>
      </x:c>
      <x:c r="Y4" s="6" t="str">
        <x:v>0.25</x:v>
      </x:c>
      <x:c r="Z4" s="6" t="str">
        <x:v>8.8</x:v>
      </x:c>
      <x:c r="AA4" s="6" t="str">
        <x:v>3.753</x:v>
      </x:c>
      <x:c r="AB4" s="6" t="str">
        <x:v>0.52</x:v>
      </x:c>
      <x:c r="AC4" s="6" t="str">
        <x:v>0.25</x:v>
      </x:c>
      <x:c r="AD4" s="6" t="str">
        <x:v>1.2</x:v>
      </x:c>
      <x:c r="AE4" s="6" t="str">
        <x:v>1.371</x:v>
      </x:c>
    </x:row>
    <x:row r="5">
      <x:c r="A5" s="6" t="str">
        <x:v>24</x:v>
      </x:c>
      <x:c r="B5" s="6" t="str">
        <x:v>TITE design</x:v>
      </x:c>
      <x:c r="C5" s="6" t="str">
        <x:v>True</x:v>
      </x:c>
      <x:c r="D5" s="6" t="str">
        <x:v>TITE_AIDE_phase_I_II_IDX_1001_to_2000_dose_summary.csv</x:v>
      </x:c>
      <x:c r="E5" s="6" t="str">
        <x:v>1000</x:v>
      </x:c>
      <x:c r="F5" s="6" t="str">
        <x:v>5</x:v>
      </x:c>
      <x:c r="G5" s="6" t="str">
        <x:v>4</x:v>
      </x:c>
      <x:c r="H5" s="6" t="str">
        <x:v>0.0</x:v>
      </x:c>
      <x:c r="I5" s="6" t="str">
        <x:v>30.0</x:v>
      </x:c>
      <x:c r="J5" s="6" t="str">
        <x:v>19.527</x:v>
      </x:c>
      <x:c r="K5" s="6" t="str">
        <x:v>1201.29316809362</x:v>
      </x:c>
      <x:c r="L5" s="6" t="str">
        <x:v>0.01</x:v>
      </x:c>
      <x:c r="M5" s="6" t="str">
        <x:v>0.05</x:v>
      </x:c>
      <x:c r="N5" s="6" t="str">
        <x:v>1.3</x:v>
      </x:c>
      <x:c r="O5" s="6" t="str">
        <x:v>3.426</x:v>
      </x:c>
      <x:c r="P5" s="6" t="str">
        <x:v>0.02</x:v>
      </x:c>
      <x:c r="Q5" s="6" t="str">
        <x:v>0.08</x:v>
      </x:c>
      <x:c r="R5" s="6" t="str">
        <x:v>1.8</x:v>
      </x:c>
      <x:c r="S5" s="6" t="str">
        <x:v>3.48</x:v>
      </x:c>
      <x:c r="T5" s="6" t="str">
        <x:v>0.05</x:v>
      </x:c>
      <x:c r="U5" s="6" t="str">
        <x:v>0.2</x:v>
      </x:c>
      <x:c r="V5" s="6" t="str">
        <x:v>4.8</x:v>
      </x:c>
      <x:c r="W5" s="6" t="str">
        <x:v>4.479</x:v>
      </x:c>
      <x:c r="X5" s="6" t="str">
        <x:v>0.1</x:v>
      </x:c>
      <x:c r="Y5" s="6" t="str">
        <x:v>0.5</x:v>
      </x:c>
      <x:c r="Z5" s="6" t="str">
        <x:v>56.0</x:v>
      </x:c>
      <x:c r="AA5" s="6" t="str">
        <x:v>10.644</x:v>
      </x:c>
      <x:c r="AB5" s="6" t="str">
        <x:v>0.25</x:v>
      </x:c>
      <x:c r="AC5" s="6" t="str">
        <x:v>0.5</x:v>
      </x:c>
      <x:c r="AD5" s="6" t="str">
        <x:v>36.1</x:v>
      </x:c>
      <x:c r="AE5" s="6" t="str">
        <x:v>7.971</x:v>
      </x:c>
    </x:row>
    <x:row r="6">
      <x:c r="A6" s="6" t="str">
        <x:v>27</x:v>
      </x:c>
      <x:c r="B6" s="6" t="str">
        <x:v>TITE design</x:v>
      </x:c>
      <x:c r="C6" s="6" t="str">
        <x:v>True</x:v>
      </x:c>
      <x:c r="D6" s="6" t="str">
        <x:v>TITE_AIDE_phase_I_II_IDX_1001_to_2000_dose_summary.csv</x:v>
      </x:c>
      <x:c r="E6" s="6" t="str">
        <x:v>1000</x:v>
      </x:c>
      <x:c r="F6" s="6" t="str">
        <x:v>3</x:v>
      </x:c>
      <x:c r="G6" s="6" t="str">
        <x:v>3</x:v>
      </x:c>
      <x:c r="H6" s="6" t="str">
        <x:v>6.1000000000000085</x:v>
      </x:c>
      <x:c r="I6" s="6" t="str">
        <x:v>29.157</x:v>
      </x:c>
      <x:c r="J6" s="6" t="str">
        <x:v>19.149</x:v>
      </x:c>
      <x:c r="K6" s="6" t="str">
        <x:v>1115.47639196044</x:v>
      </x:c>
      <x:c r="L6" s="6" t="str">
        <x:v>0.11</x:v>
      </x:c>
      <x:c r="M6" s="6" t="str">
        <x:v>0.1</x:v>
      </x:c>
      <x:c r="N6" s="6" t="str">
        <x:v>16.4</x:v>
      </x:c>
      <x:c r="O6" s="6" t="str">
        <x:v>7.704</x:v>
      </x:c>
      <x:c r="P6" s="6" t="str">
        <x:v>0.17</x:v>
      </x:c>
      <x:c r="Q6" s="6" t="str">
        <x:v>0.2</x:v>
      </x:c>
      <x:c r="R6" s="6" t="str">
        <x:v>27.8</x:v>
      </x:c>
      <x:c r="S6" s="6" t="str">
        <x:v>8.235</x:v>
      </x:c>
      <x:c r="T6" s="6" t="str">
        <x:v>0.3</x:v>
      </x:c>
      <x:c r="U6" s="6" t="str">
        <x:v>0.4</x:v>
      </x:c>
      <x:c r="V6" s="6" t="str">
        <x:v>42.4</x:v>
      </x:c>
      <x:c r="W6" s="6" t="str">
        <x:v>9.018</x:v>
      </x:c>
      <x:c r="X6" s="6" t="str">
        <x:v>0.5</x:v>
      </x:c>
      <x:c r="Y6" s="6" t="str">
        <x:v>0.42</x:v>
      </x:c>
      <x:c r="Z6" s="6" t="str">
        <x:v>6.8</x:v>
      </x:c>
      <x:c r="AA6" s="6" t="str">
        <x:v>3.324</x:v>
      </x:c>
      <x:c r="AB6" s="6" t="str">
        <x:v>0.62</x:v>
      </x:c>
      <x:c r="AC6" s="6" t="str">
        <x:v>0.45</x:v>
      </x:c>
      <x:c r="AD6" s="6" t="str">
        <x:v>0.5</x:v>
      </x:c>
      <x:c r="AE6" s="6" t="str">
        <x:v>0.876</x:v>
      </x:c>
    </x:row>
    <x:row r="7">
      <x:c r="A7" s="6" t="str">
        <x:v>38</x:v>
      </x:c>
      <x:c r="B7" s="6" t="str">
        <x:v>TITE design</x:v>
      </x:c>
      <x:c r="C7" s="6" t="str">
        <x:v>True</x:v>
      </x:c>
      <x:c r="D7" s="6" t="str">
        <x:v>TITE_AIDE_phase_I_II_IDX_1001_to_2000_dose_summary.csv</x:v>
      </x:c>
      <x:c r="E7" s="6" t="str">
        <x:v>1000</x:v>
      </x:c>
      <x:c r="F7" s="6" t="str">
        <x:v>5</x:v>
      </x:c>
      <x:c r="G7" s="6" t="str">
        <x:v>5</x:v>
      </x:c>
      <x:c r="H7" s="6" t="str">
        <x:v>1.5</x:v>
      </x:c>
      <x:c r="I7" s="6" t="str">
        <x:v>29.832</x:v>
      </x:c>
      <x:c r="J7" s="6" t="str">
        <x:v>18.467</x:v>
      </x:c>
      <x:c r="K7" s="6" t="str">
        <x:v>1123.73493583718</x:v>
      </x:c>
      <x:c r="L7" s="6" t="str">
        <x:v>0.05</x:v>
      </x:c>
      <x:c r="M7" s="6" t="str">
        <x:v>0.05</x:v>
      </x:c>
      <x:c r="N7" s="6" t="str">
        <x:v>17.2</x:v>
      </x:c>
      <x:c r="O7" s="6" t="str">
        <x:v>4.923</x:v>
      </x:c>
      <x:c r="P7" s="6" t="str">
        <x:v>0.1</x:v>
      </x:c>
      <x:c r="Q7" s="6" t="str">
        <x:v>0.08</x:v>
      </x:c>
      <x:c r="R7" s="6" t="str">
        <x:v>10.0</x:v>
      </x:c>
      <x:c r="S7" s="6" t="str">
        <x:v>5.034</x:v>
      </x:c>
      <x:c r="T7" s="6" t="str">
        <x:v>0.12</x:v>
      </x:c>
      <x:c r="U7" s="6" t="str">
        <x:v>0.12</x:v>
      </x:c>
      <x:c r="V7" s="6" t="str">
        <x:v>8.9</x:v>
      </x:c>
      <x:c r="W7" s="6" t="str">
        <x:v>5.526</x:v>
      </x:c>
      <x:c r="X7" s="6" t="str">
        <x:v>0.15</x:v>
      </x:c>
      <x:c r="Y7" s="6" t="str">
        <x:v>0.15</x:v>
      </x:c>
      <x:c r="Z7" s="6" t="str">
        <x:v>8.9</x:v>
      </x:c>
      <x:c r="AA7" s="6" t="str">
        <x:v>5.358</x:v>
      </x:c>
      <x:c r="AB7" s="6" t="str">
        <x:v>0.3</x:v>
      </x:c>
      <x:c r="AC7" s="6" t="str">
        <x:v>0.5</x:v>
      </x:c>
      <x:c r="AD7" s="6" t="str">
        <x:v>53.5</x:v>
      </x:c>
      <x:c r="AE7" s="6" t="str">
        <x:v>8.991</x:v>
      </x:c>
    </x:row>
    <x:row r="8">
      <x:c r="A8" s="6" t="str">
        <x:v>1</x:v>
      </x:c>
      <x:c r="B8" s="6" t="str">
        <x:v>New non-TITE design</x:v>
      </x:c>
      <x:c r="C8" s="6" t="str">
        <x:v>True</x:v>
      </x:c>
      <x:c r="D8" s="6" t="str">
        <x:v>AIDE_phase_I_II_modelsadditive_newdesign_shared_N30_ncycle2_rp0p15x0p85_rate56d_ep0p5x0p5_cp0p15x0p85_eth0p2_fut0p85_ap0p15x0p85_IDX_0001_to_1000_dose_summary.csv</x:v>
      </x:c>
      <x:c r="E8" s="6" t="str">
        <x:v>1000</x:v>
      </x:c>
      <x:c r="F8" s="6" t="str">
        <x:v>1</x:v>
      </x:c>
      <x:c r="G8" s="6" t="str">
        <x:v>1</x:v>
      </x:c>
      <x:c r="H8" s="6" t="str">
        <x:v>72.5</x:v>
      </x:c>
      <x:c r="I8" s="6" t="str">
        <x:v>18.975</x:v>
      </x:c>
      <x:c r="J8" s="6" t="str">
        <x:v>12.358</x:v>
      </x:c>
      <x:c r="K8" s="6" t="str">
        <x:v>677.7874</x:v>
      </x:c>
      <x:c r="L8" s="6" t="str">
        <x:v>0.3</x:v>
      </x:c>
      <x:c r="M8" s="6" t="str">
        <x:v>0.05</x:v>
      </x:c>
      <x:c r="N8" s="6" t="str">
        <x:v>17.4</x:v>
      </x:c>
      <x:c r="O8" s="6" t="str">
        <x:v>11.014</x:v>
      </x:c>
      <x:c r="P8" s="6" t="str">
        <x:v>0.35</x:v>
      </x:c>
      <x:c r="Q8" s="6" t="str">
        <x:v>0.06</x:v>
      </x:c>
      <x:c r="R8" s="6" t="str">
        <x:v>7.2</x:v>
      </x:c>
      <x:c r="S8" s="6" t="str">
        <x:v>4.351</x:v>
      </x:c>
      <x:c r="T8" s="6" t="str">
        <x:v>0.4</x:v>
      </x:c>
      <x:c r="U8" s="6" t="str">
        <x:v>0.07</x:v>
      </x:c>
      <x:c r="V8" s="6" t="str">
        <x:v>2.0</x:v>
      </x:c>
      <x:c r="W8" s="6" t="str">
        <x:v>2.338</x:v>
      </x:c>
      <x:c r="X8" s="6" t="str">
        <x:v>0.45</x:v>
      </x:c>
      <x:c r="Y8" s="6" t="str">
        <x:v>0.08</x:v>
      </x:c>
      <x:c r="Z8" s="6" t="str">
        <x:v>0.8</x:v>
      </x:c>
      <x:c r="AA8" s="6" t="str">
        <x:v>0.998</x:v>
      </x:c>
      <x:c r="AB8" s="6" t="str">
        <x:v>0.5</x:v>
      </x:c>
      <x:c r="AC8" s="6" t="str">
        <x:v>0.09</x:v>
      </x:c>
      <x:c r="AD8" s="6" t="str">
        <x:v>0.1</x:v>
      </x:c>
      <x:c r="AE8" s="6" t="str">
        <x:v>0.274</x:v>
      </x:c>
    </x:row>
    <x:row r="9">
      <x:c r="A9" s="6" t="str">
        <x:v>16</x:v>
      </x:c>
      <x:c r="B9" s="6" t="str">
        <x:v>New non-TITE design</x:v>
      </x:c>
      <x:c r="C9" s="6" t="str">
        <x:v>True</x:v>
      </x:c>
      <x:c r="D9" s="6" t="str">
        <x:v>AIDE_phase_I_II_modelsadditive_newdesign_shared_N30_ncycle2_rp0p15x0p85_rate56d_ep0p5x0p5_cp0p15x0p85_eth0p2_fut0p85_ap0p15x0p85_IDX_0001_to_1000_dose_summary.csv</x:v>
      </x:c>
      <x:c r="E9" s="6" t="str">
        <x:v>1000</x:v>
      </x:c>
      <x:c r="F9" s="6" t="str">
        <x:v>5</x:v>
      </x:c>
      <x:c r="G9" s="6" t="str">
        <x:v>1</x:v>
      </x:c>
      <x:c r="H9" s="6" t="str">
        <x:v>0.0</x:v>
      </x:c>
      <x:c r="I9" s="6" t="str">
        <x:v>30.0</x:v>
      </x:c>
      <x:c r="J9" s="6" t="str">
        <x:v>18.298</x:v>
      </x:c>
      <x:c r="K9" s="6" t="str">
        <x:v>1005.8567</x:v>
      </x:c>
      <x:c r="L9" s="6" t="str">
        <x:v>0.02</x:v>
      </x:c>
      <x:c r="M9" s="6" t="str">
        <x:v>0.2</x:v>
      </x:c>
      <x:c r="N9" s="6" t="str">
        <x:v>33.9</x:v>
      </x:c>
      <x:c r="O9" s="6" t="str">
        <x:v>6.607</x:v>
      </x:c>
      <x:c r="P9" s="6" t="str">
        <x:v>0.06</x:v>
      </x:c>
      <x:c r="Q9" s="6" t="str">
        <x:v>0.2</x:v>
      </x:c>
      <x:c r="R9" s="6" t="str">
        <x:v>22.2</x:v>
      </x:c>
      <x:c r="S9" s="6" t="str">
        <x:v>6.091</x:v>
      </x:c>
      <x:c r="T9" s="6" t="str">
        <x:v>0.09</x:v>
      </x:c>
      <x:c r="U9" s="6" t="str">
        <x:v>0.2</x:v>
      </x:c>
      <x:c r="V9" s="6" t="str">
        <x:v>16.5</x:v>
      </x:c>
      <x:c r="W9" s="6" t="str">
        <x:v>5.6</x:v>
      </x:c>
      <x:c r="X9" s="6" t="str">
        <x:v>0.14</x:v>
      </x:c>
      <x:c r="Y9" s="6" t="str">
        <x:v>0.2</x:v>
      </x:c>
      <x:c r="Z9" s="6" t="str">
        <x:v>15.4</x:v>
      </x:c>
      <x:c r="AA9" s="6" t="str">
        <x:v>6.108</x:v>
      </x:c>
      <x:c r="AB9" s="6" t="str">
        <x:v>0.26</x:v>
      </x:c>
      <x:c r="AC9" s="6" t="str">
        <x:v>0.2</x:v>
      </x:c>
      <x:c r="AD9" s="6" t="str">
        <x:v>12.0</x:v>
      </x:c>
      <x:c r="AE9" s="6" t="str">
        <x:v>5.594</x:v>
      </x:c>
    </x:row>
    <x:row r="10">
      <x:c r="A10" s="6" t="str">
        <x:v>20</x:v>
      </x:c>
      <x:c r="B10" s="6" t="str">
        <x:v>New non-TITE design</x:v>
      </x:c>
      <x:c r="C10" s="6" t="str">
        <x:v>True</x:v>
      </x:c>
      <x:c r="D10" s="6" t="str">
        <x:v>AIDE_phase_I_II_modelsadditive_newdesign_shared_N30_ncycle2_rp0p15x0p85_rate56d_ep0p5x0p5_cp0p15x0p85_eth0p2_fut0p85_ap0p15x0p85_IDX_0001_to_1000_dose_summary.csv</x:v>
      </x:c>
      <x:c r="E10" s="6" t="str">
        <x:v>1000</x:v>
      </x:c>
      <x:c r="F10" s="6" t="str">
        <x:v>3</x:v>
      </x:c>
      <x:c r="G10" s="6" t="str">
        <x:v>2</x:v>
      </x:c>
      <x:c r="H10" s="6" t="str">
        <x:v>3.0</x:v>
      </x:c>
      <x:c r="I10" s="6" t="str">
        <x:v>29.529</x:v>
      </x:c>
      <x:c r="J10" s="6" t="str">
        <x:v>19.018</x:v>
      </x:c>
      <x:c r="K10" s="6" t="str">
        <x:v>1043.832</x:v>
      </x:c>
      <x:c r="L10" s="6" t="str">
        <x:v>0.07</x:v>
      </x:c>
      <x:c r="M10" s="6" t="str">
        <x:v>0.05</x:v>
      </x:c>
      <x:c r="N10" s="6" t="str">
        <x:v>10.4</x:v>
      </x:c>
      <x:c r="O10" s="6" t="str">
        <x:v>5.682</x:v>
      </x:c>
      <x:c r="P10" s="6" t="str">
        <x:v>0.14</x:v>
      </x:c>
      <x:c r="Q10" s="6" t="str">
        <x:v>0.25</x:v>
      </x:c>
      <x:c r="R10" s="6" t="str">
        <x:v>47.7</x:v>
      </x:c>
      <x:c r="S10" s="6" t="str">
        <x:v>9.475</x:v>
      </x:c>
      <x:c r="T10" s="6" t="str">
        <x:v>0.31</x:v>
      </x:c>
      <x:c r="U10" s="6" t="str">
        <x:v>0.25</x:v>
      </x:c>
      <x:c r="V10" s="6" t="str">
        <x:v>25.6</x:v>
      </x:c>
      <x:c r="W10" s="6" t="str">
        <x:v>7.978</x:v>
      </x:c>
      <x:c r="X10" s="6" t="str">
        <x:v>0.41</x:v>
      </x:c>
      <x:c r="Y10" s="6" t="str">
        <x:v>0.25</x:v>
      </x:c>
      <x:c r="Z10" s="6" t="str">
        <x:v>10.6</x:v>
      </x:c>
      <x:c r="AA10" s="6" t="str">
        <x:v>4.624</x:v>
      </x:c>
      <x:c r="AB10" s="6" t="str">
        <x:v>0.52</x:v>
      </x:c>
      <x:c r="AC10" s="6" t="str">
        <x:v>0.25</x:v>
      </x:c>
      <x:c r="AD10" s="6" t="str">
        <x:v>2.7</x:v>
      </x:c>
      <x:c r="AE10" s="6" t="str">
        <x:v>1.77</x:v>
      </x:c>
    </x:row>
    <x:row r="11">
      <x:c r="A11" s="6" t="str">
        <x:v>24</x:v>
      </x:c>
      <x:c r="B11" s="6" t="str">
        <x:v>New non-TITE design</x:v>
      </x:c>
      <x:c r="C11" s="6" t="str">
        <x:v>True</x:v>
      </x:c>
      <x:c r="D11" s="6" t="str">
        <x:v>AIDE_phase_I_II_modelsadditive_newdesign_shared_N30_ncycle2_rp0p15x0p85_rate56d_ep0p5x0p5_cp0p15x0p85_eth0p2_fut0p85_ap0p15x0p85_IDX_0001_to_1000_dose_summary.csv</x:v>
      </x:c>
      <x:c r="E11" s="6" t="str">
        <x:v>1000</x:v>
      </x:c>
      <x:c r="F11" s="6" t="str">
        <x:v>5</x:v>
      </x:c>
      <x:c r="G11" s="6" t="str">
        <x:v>4</x:v>
      </x:c>
      <x:c r="H11" s="6" t="str">
        <x:v>0.0</x:v>
      </x:c>
      <x:c r="I11" s="6" t="str">
        <x:v>30.0</x:v>
      </x:c>
      <x:c r="J11" s="6" t="str">
        <x:v>19.545</x:v>
      </x:c>
      <x:c r="K11" s="6" t="str">
        <x:v>1076.6065</x:v>
      </x:c>
      <x:c r="L11" s="6" t="str">
        <x:v>0.01</x:v>
      </x:c>
      <x:c r="M11" s="6" t="str">
        <x:v>0.05</x:v>
      </x:c>
      <x:c r="N11" s="6" t="str">
        <x:v>0.4</x:v>
      </x:c>
      <x:c r="O11" s="6" t="str">
        <x:v>3.578</x:v>
      </x:c>
      <x:c r="P11" s="6" t="str">
        <x:v>0.02</x:v>
      </x:c>
      <x:c r="Q11" s="6" t="str">
        <x:v>0.08</x:v>
      </x:c>
      <x:c r="R11" s="6" t="str">
        <x:v>0.8</x:v>
      </x:c>
      <x:c r="S11" s="6" t="str">
        <x:v>3.675</x:v>
      </x:c>
      <x:c r="T11" s="6" t="str">
        <x:v>0.05</x:v>
      </x:c>
      <x:c r="U11" s="6" t="str">
        <x:v>0.2</x:v>
      </x:c>
      <x:c r="V11" s="6" t="str">
        <x:v>3.6</x:v>
      </x:c>
      <x:c r="W11" s="6" t="str">
        <x:v>4.893</x:v>
      </x:c>
      <x:c r="X11" s="6" t="str">
        <x:v>0.1</x:v>
      </x:c>
      <x:c r="Y11" s="6" t="str">
        <x:v>0.5</x:v>
      </x:c>
      <x:c r="Z11" s="6" t="str">
        <x:v>56.6</x:v>
      </x:c>
      <x:c r="AA11" s="6" t="str">
        <x:v>9.434</x:v>
      </x:c>
      <x:c r="AB11" s="6" t="str">
        <x:v>0.25</x:v>
      </x:c>
      <x:c r="AC11" s="6" t="str">
        <x:v>0.5</x:v>
      </x:c>
      <x:c r="AD11" s="6" t="str">
        <x:v>38.6</x:v>
      </x:c>
      <x:c r="AE11" s="6" t="str">
        <x:v>8.42</x:v>
      </x:c>
    </x:row>
    <x:row r="12">
      <x:c r="A12" s="6" t="str">
        <x:v>27</x:v>
      </x:c>
      <x:c r="B12" s="6" t="str">
        <x:v>New non-TITE design</x:v>
      </x:c>
      <x:c r="C12" s="6" t="str">
        <x:v>True</x:v>
      </x:c>
      <x:c r="D12" s="6" t="str">
        <x:v>AIDE_phase_I_II_modelsadditive_newdesign_shared_N30_ncycle2_rp0p15x0p85_rate56d_ep0p5x0p5_cp0p15x0p85_eth0p2_fut0p85_ap0p15x0p85_IDX_0001_to_1000_dose_summary.csv</x:v>
      </x:c>
      <x:c r="E12" s="6" t="str">
        <x:v>1000</x:v>
      </x:c>
      <x:c r="F12" s="6" t="str">
        <x:v>3</x:v>
      </x:c>
      <x:c r="G12" s="6" t="str">
        <x:v>3</x:v>
      </x:c>
      <x:c r="H12" s="6" t="str">
        <x:v>5.7</x:v>
      </x:c>
      <x:c r="I12" s="6" t="str">
        <x:v>29.184</x:v>
      </x:c>
      <x:c r="J12" s="6" t="str">
        <x:v>19.451</x:v>
      </x:c>
      <x:c r="K12" s="6" t="str">
        <x:v>1070.9197</x:v>
      </x:c>
      <x:c r="L12" s="6" t="str">
        <x:v>0.11</x:v>
      </x:c>
      <x:c r="M12" s="6" t="str">
        <x:v>0.1</x:v>
      </x:c>
      <x:c r="N12" s="6" t="str">
        <x:v>10.5</x:v>
      </x:c>
      <x:c r="O12" s="6" t="str">
        <x:v>7.443</x:v>
      </x:c>
      <x:c r="P12" s="6" t="str">
        <x:v>0.17</x:v>
      </x:c>
      <x:c r="Q12" s="6" t="str">
        <x:v>0.2</x:v>
      </x:c>
      <x:c r="R12" s="6" t="str">
        <x:v>23.6</x:v>
      </x:c>
      <x:c r="S12" s="6" t="str">
        <x:v>8.201</x:v>
      </x:c>
      <x:c r="T12" s="6" t="str">
        <x:v>0.3</x:v>
      </x:c>
      <x:c r="U12" s="6" t="str">
        <x:v>0.4</x:v>
      </x:c>
      <x:c r="V12" s="6" t="str">
        <x:v>46.6</x:v>
      </x:c>
      <x:c r="W12" s="6" t="str">
        <x:v>8.446</x:v>
      </x:c>
      <x:c r="X12" s="6" t="str">
        <x:v>0.5</x:v>
      </x:c>
      <x:c r="Y12" s="6" t="str">
        <x:v>0.42</x:v>
      </x:c>
      <x:c r="Z12" s="6" t="str">
        <x:v>12.5</x:v>
      </x:c>
      <x:c r="AA12" s="6" t="str">
        <x:v>4.016</x:v>
      </x:c>
      <x:c r="AB12" s="6" t="str">
        <x:v>0.62</x:v>
      </x:c>
      <x:c r="AC12" s="6" t="str">
        <x:v>0.45</x:v>
      </x:c>
      <x:c r="AD12" s="6" t="str">
        <x:v>1.1</x:v>
      </x:c>
      <x:c r="AE12" s="6" t="str">
        <x:v>1.078</x:v>
      </x:c>
    </x:row>
    <x:row r="13">
      <x:c r="A13" s="6" t="str">
        <x:v>38</x:v>
      </x:c>
      <x:c r="B13" s="6" t="str">
        <x:v>New non-TITE design</x:v>
      </x:c>
      <x:c r="C13" s="6" t="str">
        <x:v>True</x:v>
      </x:c>
      <x:c r="D13" s="6" t="str">
        <x:v>AIDE_phase_I_II_modelsadditive_newdesign_shared_N30_ncycle2_rp0p15x0p85_rate56d_ep0p5x0p5_cp0p15x0p85_eth0p2_fut0p85_ap0p15x0p85_IDX_0001_to_1000_dose_summary.csv</x:v>
      </x:c>
      <x:c r="E13" s="6" t="str">
        <x:v>1000</x:v>
      </x:c>
      <x:c r="F13" s="6" t="str">
        <x:v>5</x:v>
      </x:c>
      <x:c r="G13" s="6" t="str">
        <x:v>5</x:v>
      </x:c>
      <x:c r="H13" s="6" t="str">
        <x:v>1.0</x:v>
      </x:c>
      <x:c r="I13" s="6" t="str">
        <x:v>29.844</x:v>
      </x:c>
      <x:c r="J13" s="6" t="str">
        <x:v>18.53</x:v>
      </x:c>
      <x:c r="K13" s="6" t="str">
        <x:v>1021.7263</x:v>
      </x:c>
      <x:c r="L13" s="6" t="str">
        <x:v>0.05</x:v>
      </x:c>
      <x:c r="M13" s="6" t="str">
        <x:v>0.05</x:v>
      </x:c>
      <x:c r="N13" s="6" t="str">
        <x:v>11.7</x:v>
      </x:c>
      <x:c r="O13" s="6" t="str">
        <x:v>4.711</x:v>
      </x:c>
      <x:c r="P13" s="6" t="str">
        <x:v>0.1</x:v>
      </x:c>
      <x:c r="Q13" s="6" t="str">
        <x:v>0.08</x:v>
      </x:c>
      <x:c r="R13" s="6" t="str">
        <x:v>6.0</x:v>
      </x:c>
      <x:c r="S13" s="6" t="str">
        <x:v>4.795</x:v>
      </x:c>
      <x:c r="T13" s="6" t="str">
        <x:v>0.12</x:v>
      </x:c>
      <x:c r="U13" s="6" t="str">
        <x:v>0.12</x:v>
      </x:c>
      <x:c r="V13" s="6" t="str">
        <x:v>5.5</x:v>
      </x:c>
      <x:c r="W13" s="6" t="str">
        <x:v>5.288</x:v>
      </x:c>
      <x:c r="X13" s="6" t="str">
        <x:v>0.15</x:v>
      </x:c>
      <x:c r="Y13" s="6" t="str">
        <x:v>0.15</x:v>
      </x:c>
      <x:c r="Z13" s="6" t="str">
        <x:v>8.5</x:v>
      </x:c>
      <x:c r="AA13" s="6" t="str">
        <x:v>6.886</x:v>
      </x:c>
      <x:c r="AB13" s="6" t="str">
        <x:v>0.3</x:v>
      </x:c>
      <x:c r="AC13" s="6" t="str">
        <x:v>0.5</x:v>
      </x:c>
      <x:c r="AD13" s="6" t="str">
        <x:v>67.3</x:v>
      </x:c>
      <x:c r="AE13" s="6" t="str">
        <x:v>8.164</x:v>
      </x:c>
    </x:row>
  </x:sheetData>
  <x:pageMargins left="0.7" right="0.7" top="0.75" bottom="0.75" header="0.3" footer="0.3"/>
  <x:tableParts count="1">
    <x:tablePart xmlns:r="http://schemas.openxmlformats.org/officeDocument/2006/relationships" r:id="Rbcfff192070b4c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</x:cols>
  <x:sheetData>
    <x:row r="1" ht="30" customHeight="1">
      <x:c r="A1" s="24" t="str">
        <x:v>Phase I/II Operating Characteristics</x:v>
      </x:c>
      <x:c r="B1" s="24"/>
      <x:c r="C1" s="24"/>
      <x:c r="D1" s="24"/>
      <x:c r="E1" s="24"/>
      <x:c r="F1" s="24"/>
      <x:c r="G1" s="24"/>
    </x:row>
    <x:row r="2">
      <x:c r="A2" s="32" t="str">
        <x:v>TITE versus new non-TITE design | N = 30 | Cycle_Max = 2 | efficacy futility cutoff = 0.85</x:v>
      </x:c>
      <x:c r="B2" s="32"/>
      <x:c r="C2" s="32"/>
      <x:c r="D2" s="32"/>
      <x:c r="E2" s="32"/>
      <x:c r="F2" s="32"/>
      <x:c r="G2" s="32"/>
    </x:row>
    <x:row r="4" ht="22" customHeight="1">
      <x:c r="A4" s="40" t="str">
        <x:v>Comparison scope: matching two-stage/top-2-randomized configurations, with 1,000 simulations per available scenario.</x:v>
      </x:c>
      <x:c r="B4" s="40"/>
      <x:c r="C4" s="40"/>
      <x:c r="D4" s="40"/>
      <x:c r="E4" s="40"/>
      <x:c r="F4" s="40"/>
      <x:c r="G4" s="40"/>
    </x:row>
    <x:row r="5" ht="22" customHeight="1">
      <x:c r="A5" s="40" t="str">
        <x:v>Sources: Presentation 8-17 TITE results (IDX 1001-2000) and new non-TITE results (IDX 0001-1000); all six scenarios are available.</x:v>
      </x:c>
      <x:c r="B5" s="40"/>
      <x:c r="C5" s="40"/>
      <x:c r="D5" s="40"/>
      <x:c r="E5" s="40"/>
      <x:c r="F5" s="40"/>
      <x:c r="G5" s="40"/>
    </x:row>
    <x:row r="7" ht="22" customHeight="1">
      <x:c r="A7" s="50" t="str">
        <x:v>Metric</x:v>
      </x:c>
      <x:c r="B7" s="50" t="str">
        <x:v>Dose 1</x:v>
      </x:c>
      <x:c r="C7" s="50" t="str">
        <x:v>Dose 2</x:v>
      </x:c>
      <x:c r="D7" s="50" t="str">
        <x:v>Dose 3</x:v>
      </x:c>
      <x:c r="E7" s="50" t="str">
        <x:v>Dose 4</x:v>
      </x:c>
      <x:c r="F7" s="50" t="str">
        <x:v>Dose 5</x:v>
      </x:c>
      <x:c r="G7" s="50" t="str">
        <x:v>No OBD %</x:v>
      </x:c>
    </x:row>
    <x:row r="8" ht="20" customHeight="1">
      <x:c r="A8" s="58" t="str">
        <x:v>Scenario 1</x:v>
      </x:c>
      <x:c r="B8" s="58"/>
      <x:c r="C8" s="58"/>
      <x:c r="D8" s="58"/>
      <x:c r="E8" s="58"/>
      <x:c r="F8" s="58"/>
      <x:c r="G8" s="58"/>
    </x:row>
    <x:row r="9" ht="18" customHeight="1">
      <x:c r="A9" s="6" t="str">
        <x:v>DLT rate</x:v>
      </x:c>
      <x:c r="B9" s="62" t="str">
        <x:f>'Source Data'!$L$8</x:f>
        <x:v>0.3</x:v>
      </x:c>
      <x:c r="C9" s="62" t="str">
        <x:f>'Source Data'!$P$8</x:f>
        <x:v>0.35</x:v>
      </x:c>
      <x:c r="D9" s="62" t="str">
        <x:f>'Source Data'!$T$8</x:f>
        <x:v>0.4</x:v>
      </x:c>
      <x:c r="E9" s="62" t="str">
        <x:f>'Source Data'!$X$8</x:f>
        <x:v>0.45</x:v>
      </x:c>
      <x:c r="F9" s="62" t="str">
        <x:f>'Source Data'!$AB$8</x:f>
        <x:v>0.5</x:v>
      </x:c>
      <x:c r="G9" s="60"/>
    </x:row>
    <x:row r="10" ht="18" customHeight="1">
      <x:c r="A10" s="6" t="str">
        <x:v>Efficacy rate</x:v>
      </x:c>
      <x:c r="B10" s="62" t="str">
        <x:f>'Source Data'!$M$8</x:f>
        <x:v>0.05</x:v>
      </x:c>
      <x:c r="C10" s="62" t="str">
        <x:f>'Source Data'!$Q$8</x:f>
        <x:v>0.06</x:v>
      </x:c>
      <x:c r="D10" s="62" t="str">
        <x:f>'Source Data'!$U$8</x:f>
        <x:v>0.07</x:v>
      </x:c>
      <x:c r="E10" s="62" t="str">
        <x:f>'Source Data'!$Y$8</x:f>
        <x:v>0.08</x:v>
      </x:c>
      <x:c r="F10" s="62" t="str">
        <x:f>'Source Data'!$AC$8</x:f>
        <x:v>0.09</x:v>
      </x:c>
      <x:c r="G10" s="60"/>
    </x:row>
    <x:row r="11" ht="18" customHeight="1">
      <x:c r="A11" s="70" t="str">
        <x:v>OBD selection (%)</x:v>
      </x:c>
      <x:c r="B11" s="72"/>
      <x:c r="C11" s="72"/>
      <x:c r="D11" s="72"/>
      <x:c r="E11" s="72"/>
      <x:c r="F11" s="72"/>
      <x:c r="G11" s="72"/>
    </x:row>
    <x:row r="12" ht="18" customHeight="1">
      <x:c r="A12" s="80" t="str">
        <x:v>TITE design</x:v>
      </x:c>
      <x:c r="B12" s="94" t="str">
        <x:f>'Source Data'!$N$2</x:f>
        <x:v>18.6</x:v>
      </x:c>
      <x:c r="C12" s="94" t="str">
        <x:f>'Source Data'!$R$2</x:f>
        <x:v>8.8</x:v>
      </x:c>
      <x:c r="D12" s="94" t="str">
        <x:f>'Source Data'!$V$2</x:f>
        <x:v>0.9</x:v>
      </x:c>
      <x:c r="E12" s="94" t="str">
        <x:f>'Source Data'!$Z$2</x:f>
        <x:v>0.1</x:v>
      </x:c>
      <x:c r="F12" s="94" t="str">
        <x:f>'Source Data'!$AD$2</x:f>
        <x:v>0.0</x:v>
      </x:c>
      <x:c r="G12" s="94" t="str">
        <x:f>'Source Data'!$H$2</x:f>
        <x:v>71.6</x:v>
      </x:c>
    </x:row>
    <x:row r="13" ht="18" customHeight="1">
      <x:c r="A13" s="90" t="str">
        <x:v>New non-TITE design</x:v>
      </x:c>
      <x:c r="B13" s="95" t="str">
        <x:f>'Source Data'!$N$8</x:f>
        <x:v>17.4</x:v>
      </x:c>
      <x:c r="C13" s="95" t="str">
        <x:f>'Source Data'!$R$8</x:f>
        <x:v>7.2</x:v>
      </x:c>
      <x:c r="D13" s="95" t="str">
        <x:f>'Source Data'!$V$8</x:f>
        <x:v>2.0</x:v>
      </x:c>
      <x:c r="E13" s="95" t="str">
        <x:f>'Source Data'!$Z$8</x:f>
        <x:v>0.8</x:v>
      </x:c>
      <x:c r="F13" s="95" t="str">
        <x:f>'Source Data'!$AD$8</x:f>
        <x:v>0.1</x:v>
      </x:c>
      <x:c r="G13" s="95" t="str">
        <x:f>'Source Data'!$H$8</x:f>
        <x:v>72.5</x:v>
      </x:c>
    </x:row>
    <x:row r="14" ht="18" customHeight="1">
      <x:c r="A14" s="70" t="str">
        <x:v>Mean administrations by dose</x:v>
      </x:c>
      <x:c r="B14" s="72"/>
      <x:c r="C14" s="72"/>
      <x:c r="D14" s="72"/>
      <x:c r="E14" s="72"/>
      <x:c r="F14" s="72"/>
      <x:c r="G14" s="72"/>
    </x:row>
    <x:row r="15" ht="18" customHeight="1">
      <x:c r="A15" s="80" t="str">
        <x:v>TITE design</x:v>
      </x:c>
      <x:c r="B15" s="94" t="str">
        <x:f>'Source Data'!$O$2</x:f>
        <x:v>11.532</x:v>
      </x:c>
      <x:c r="C15" s="94" t="str">
        <x:f>'Source Data'!$S$2</x:f>
        <x:v>4.584</x:v>
      </x:c>
      <x:c r="D15" s="94" t="str">
        <x:f>'Source Data'!$W$2</x:f>
        <x:v>2.172</x:v>
      </x:c>
      <x:c r="E15" s="94" t="str">
        <x:f>'Source Data'!$AA$2</x:f>
        <x:v>0.915</x:v>
      </x:c>
      <x:c r="F15" s="94" t="str">
        <x:f>'Source Data'!$AE$2</x:f>
        <x:v>0.279</x:v>
      </x:c>
      <x:c r="G15" s="82"/>
    </x:row>
    <x:row r="16" ht="18" customHeight="1">
      <x:c r="A16" s="90" t="str">
        <x:v>New non-TITE design</x:v>
      </x:c>
      <x:c r="B16" s="95" t="str">
        <x:f>'Source Data'!$O$8</x:f>
        <x:v>11.014</x:v>
      </x:c>
      <x:c r="C16" s="95" t="str">
        <x:f>'Source Data'!$S$8</x:f>
        <x:v>4.351</x:v>
      </x:c>
      <x:c r="D16" s="95" t="str">
        <x:f>'Source Data'!$W$8</x:f>
        <x:v>2.338</x:v>
      </x:c>
      <x:c r="E16" s="95" t="str">
        <x:f>'Source Data'!$AA$8</x:f>
        <x:v>0.998</x:v>
      </x:c>
      <x:c r="F16" s="95" t="str">
        <x:f>'Source Data'!$AE$8</x:f>
        <x:v>0.274</x:v>
      </x:c>
      <x:c r="G16" s="92"/>
    </x:row>
    <x:row r="17" ht="18" customHeight="1">
      <x:c r="A17" s="70" t="str">
        <x:v>Run-level means</x:v>
      </x:c>
      <x:c r="B17" s="72" t="str">
        <x:v>Total admin.</x:v>
      </x:c>
      <x:c r="C17" s="72" t="str">
        <x:v>Unique patients</x:v>
      </x:c>
      <x:c r="D17" s="72" t="str">
        <x:v>Duration days</x:v>
      </x:c>
      <x:c r="E17" s="72"/>
      <x:c r="F17" s="72"/>
      <x:c r="G17" s="72"/>
    </x:row>
    <x:row r="18" ht="18" customHeight="1">
      <x:c r="A18" s="80" t="str">
        <x:v>TITE design</x:v>
      </x:c>
      <x:c r="B18" s="94" t="str">
        <x:f>'Source Data'!$I$2</x:f>
        <x:v>19.482</x:v>
      </x:c>
      <x:c r="C18" s="94" t="str">
        <x:f>'Source Data'!$J$2</x:f>
        <x:v>12.359</x:v>
      </x:c>
      <x:c r="D18" s="94" t="str">
        <x:f>'Source Data'!$K$2</x:f>
        <x:v>710.610670238794</x:v>
      </x:c>
      <x:c r="E18" s="82"/>
      <x:c r="F18" s="82"/>
      <x:c r="G18" s="82"/>
    </x:row>
    <x:row r="19" ht="18" customHeight="1">
      <x:c r="A19" s="90" t="str">
        <x:v>New non-TITE design</x:v>
      </x:c>
      <x:c r="B19" s="95" t="str">
        <x:f>'Source Data'!$I$8</x:f>
        <x:v>18.975</x:v>
      </x:c>
      <x:c r="C19" s="95" t="str">
        <x:f>'Source Data'!$J$8</x:f>
        <x:v>12.358</x:v>
      </x:c>
      <x:c r="D19" s="95" t="str">
        <x:f>'Source Data'!$K$8</x:f>
        <x:v>677.7874</x:v>
      </x:c>
      <x:c r="E19" s="92"/>
      <x:c r="F19" s="92"/>
      <x:c r="G19" s="92"/>
    </x:row>
    <x:row r="21" ht="20" customHeight="1">
      <x:c r="A21" s="58" t="str">
        <x:v>Scenario 16</x:v>
      </x:c>
      <x:c r="B21" s="58"/>
      <x:c r="C21" s="58"/>
      <x:c r="D21" s="58"/>
      <x:c r="E21" s="58"/>
      <x:c r="F21" s="58"/>
      <x:c r="G21" s="58"/>
    </x:row>
    <x:row r="22" ht="18" customHeight="1">
      <x:c r="A22" s="6" t="str">
        <x:v>DLT rate</x:v>
      </x:c>
      <x:c r="B22" s="62" t="str">
        <x:f>'Source Data'!$L$9</x:f>
        <x:v>0.02</x:v>
      </x:c>
      <x:c r="C22" s="62" t="str">
        <x:f>'Source Data'!$P$9</x:f>
        <x:v>0.06</x:v>
      </x:c>
      <x:c r="D22" s="62" t="str">
        <x:f>'Source Data'!$T$9</x:f>
        <x:v>0.09</x:v>
      </x:c>
      <x:c r="E22" s="62" t="str">
        <x:f>'Source Data'!$X$9</x:f>
        <x:v>0.14</x:v>
      </x:c>
      <x:c r="F22" s="62" t="str">
        <x:f>'Source Data'!$AB$9</x:f>
        <x:v>0.26</x:v>
      </x:c>
      <x:c r="G22" s="60"/>
    </x:row>
    <x:row r="23" ht="18" customHeight="1">
      <x:c r="A23" s="6" t="str">
        <x:v>Efficacy rate</x:v>
      </x:c>
      <x:c r="B23" s="62" t="str">
        <x:f>'Source Data'!$M$9</x:f>
        <x:v>0.2</x:v>
      </x:c>
      <x:c r="C23" s="62" t="str">
        <x:f>'Source Data'!$Q$9</x:f>
        <x:v>0.2</x:v>
      </x:c>
      <x:c r="D23" s="62" t="str">
        <x:f>'Source Data'!$U$9</x:f>
        <x:v>0.2</x:v>
      </x:c>
      <x:c r="E23" s="62" t="str">
        <x:f>'Source Data'!$Y$9</x:f>
        <x:v>0.2</x:v>
      </x:c>
      <x:c r="F23" s="62" t="str">
        <x:f>'Source Data'!$AC$9</x:f>
        <x:v>0.2</x:v>
      </x:c>
      <x:c r="G23" s="60"/>
    </x:row>
    <x:row r="24" ht="18" customHeight="1">
      <x:c r="A24" s="70" t="str">
        <x:v>OBD selection (%)</x:v>
      </x:c>
      <x:c r="B24" s="72"/>
      <x:c r="C24" s="72"/>
      <x:c r="D24" s="72"/>
      <x:c r="E24" s="72"/>
      <x:c r="F24" s="72"/>
      <x:c r="G24" s="72"/>
    </x:row>
    <x:row r="25" ht="18" customHeight="1">
      <x:c r="A25" s="80" t="str">
        <x:v>TITE design</x:v>
      </x:c>
      <x:c r="B25" s="94" t="str">
        <x:f>'Source Data'!$N$3</x:f>
        <x:v>31.4</x:v>
      </x:c>
      <x:c r="C25" s="94" t="str">
        <x:f>'Source Data'!$R$3</x:f>
        <x:v>24.3</x:v>
      </x:c>
      <x:c r="D25" s="94" t="str">
        <x:f>'Source Data'!$V$3</x:f>
        <x:v>19.3</x:v>
      </x:c>
      <x:c r="E25" s="94" t="str">
        <x:f>'Source Data'!$Z$3</x:f>
        <x:v>15.1</x:v>
      </x:c>
      <x:c r="F25" s="94" t="str">
        <x:f>'Source Data'!$AD$3</x:f>
        <x:v>9.8</x:v>
      </x:c>
      <x:c r="G25" s="94" t="str">
        <x:f>'Source Data'!$H$3</x:f>
        <x:v>0.10000000000000853</x:v>
      </x:c>
    </x:row>
    <x:row r="26" ht="18" customHeight="1">
      <x:c r="A26" s="90" t="str">
        <x:v>New non-TITE design</x:v>
      </x:c>
      <x:c r="B26" s="95" t="str">
        <x:f>'Source Data'!$N$9</x:f>
        <x:v>33.9</x:v>
      </x:c>
      <x:c r="C26" s="95" t="str">
        <x:f>'Source Data'!$R$9</x:f>
        <x:v>22.2</x:v>
      </x:c>
      <x:c r="D26" s="95" t="str">
        <x:f>'Source Data'!$V$9</x:f>
        <x:v>16.5</x:v>
      </x:c>
      <x:c r="E26" s="95" t="str">
        <x:f>'Source Data'!$Z$9</x:f>
        <x:v>15.4</x:v>
      </x:c>
      <x:c r="F26" s="95" t="str">
        <x:f>'Source Data'!$AD$9</x:f>
        <x:v>12.0</x:v>
      </x:c>
      <x:c r="G26" s="95" t="str">
        <x:f>'Source Data'!$H$9</x:f>
        <x:v>0.0</x:v>
      </x:c>
    </x:row>
    <x:row r="27" ht="18" customHeight="1">
      <x:c r="A27" s="70" t="str">
        <x:v>Mean administrations by dose</x:v>
      </x:c>
      <x:c r="B27" s="72"/>
      <x:c r="C27" s="72"/>
      <x:c r="D27" s="72"/>
      <x:c r="E27" s="72"/>
      <x:c r="F27" s="72"/>
      <x:c r="G27" s="72"/>
    </x:row>
    <x:row r="28" ht="18" customHeight="1">
      <x:c r="A28" s="80" t="str">
        <x:v>TITE design</x:v>
      </x:c>
      <x:c r="B28" s="94" t="str">
        <x:f>'Source Data'!$O$3</x:f>
        <x:v>7.347</x:v>
      </x:c>
      <x:c r="C28" s="94" t="str">
        <x:f>'Source Data'!$S$3</x:f>
        <x:v>6.957</x:v>
      </x:c>
      <x:c r="D28" s="94" t="str">
        <x:f>'Source Data'!$W$3</x:f>
        <x:v>5.859</x:v>
      </x:c>
      <x:c r="E28" s="94" t="str">
        <x:f>'Source Data'!$AA$3</x:f>
        <x:v>5.514</x:v>
      </x:c>
      <x:c r="F28" s="94" t="str">
        <x:f>'Source Data'!$AE$3</x:f>
        <x:v>4.32</x:v>
      </x:c>
      <x:c r="G28" s="82"/>
    </x:row>
    <x:row r="29" ht="18" customHeight="1">
      <x:c r="A29" s="90" t="str">
        <x:v>New non-TITE design</x:v>
      </x:c>
      <x:c r="B29" s="95" t="str">
        <x:f>'Source Data'!$O$9</x:f>
        <x:v>6.607</x:v>
      </x:c>
      <x:c r="C29" s="95" t="str">
        <x:f>'Source Data'!$S$9</x:f>
        <x:v>6.091</x:v>
      </x:c>
      <x:c r="D29" s="95" t="str">
        <x:f>'Source Data'!$W$9</x:f>
        <x:v>5.6</x:v>
      </x:c>
      <x:c r="E29" s="95" t="str">
        <x:f>'Source Data'!$AA$9</x:f>
        <x:v>6.108</x:v>
      </x:c>
      <x:c r="F29" s="95" t="str">
        <x:f>'Source Data'!$AE$9</x:f>
        <x:v>5.594</x:v>
      </x:c>
      <x:c r="G29" s="92"/>
    </x:row>
    <x:row r="30" ht="18" customHeight="1">
      <x:c r="A30" s="70" t="str">
        <x:v>Run-level means</x:v>
      </x:c>
      <x:c r="B30" s="72" t="str">
        <x:v>Total admin.</x:v>
      </x:c>
      <x:c r="C30" s="72" t="str">
        <x:v>Unique patients</x:v>
      </x:c>
      <x:c r="D30" s="72" t="str">
        <x:v>Duration days</x:v>
      </x:c>
      <x:c r="E30" s="72"/>
      <x:c r="F30" s="72"/>
      <x:c r="G30" s="72"/>
    </x:row>
    <x:row r="31" ht="18" customHeight="1">
      <x:c r="A31" s="80" t="str">
        <x:v>TITE design</x:v>
      </x:c>
      <x:c r="B31" s="94" t="str">
        <x:f>'Source Data'!$I$3</x:f>
        <x:v>29.997</x:v>
      </x:c>
      <x:c r="C31" s="94" t="str">
        <x:f>'Source Data'!$J$3</x:f>
        <x:v>17.912</x:v>
      </x:c>
      <x:c r="D31" s="94" t="str">
        <x:f>'Source Data'!$K$3</x:f>
        <x:v>1080.03414757293</x:v>
      </x:c>
      <x:c r="E31" s="82"/>
      <x:c r="F31" s="82"/>
      <x:c r="G31" s="82"/>
    </x:row>
    <x:row r="32" ht="18" customHeight="1">
      <x:c r="A32" s="90" t="str">
        <x:v>New non-TITE design</x:v>
      </x:c>
      <x:c r="B32" s="95" t="str">
        <x:f>'Source Data'!$I$9</x:f>
        <x:v>30.0</x:v>
      </x:c>
      <x:c r="C32" s="95" t="str">
        <x:f>'Source Data'!$J$9</x:f>
        <x:v>18.298</x:v>
      </x:c>
      <x:c r="D32" s="95" t="str">
        <x:f>'Source Data'!$K$9</x:f>
        <x:v>1005.8567</x:v>
      </x:c>
      <x:c r="E32" s="92"/>
      <x:c r="F32" s="92"/>
      <x:c r="G32" s="92"/>
    </x:row>
    <x:row r="34" ht="20" customHeight="1">
      <x:c r="A34" s="58" t="str">
        <x:v>Scenario 20</x:v>
      </x:c>
      <x:c r="B34" s="58"/>
      <x:c r="C34" s="58"/>
      <x:c r="D34" s="58"/>
      <x:c r="E34" s="58"/>
      <x:c r="F34" s="58"/>
      <x:c r="G34" s="58"/>
    </x:row>
    <x:row r="35" ht="18" customHeight="1">
      <x:c r="A35" s="6" t="str">
        <x:v>DLT rate</x:v>
      </x:c>
      <x:c r="B35" s="62" t="str">
        <x:f>'Source Data'!$L$10</x:f>
        <x:v>0.07</x:v>
      </x:c>
      <x:c r="C35" s="62" t="str">
        <x:f>'Source Data'!$P$10</x:f>
        <x:v>0.14</x:v>
      </x:c>
      <x:c r="D35" s="62" t="str">
        <x:f>'Source Data'!$T$10</x:f>
        <x:v>0.31</x:v>
      </x:c>
      <x:c r="E35" s="62" t="str">
        <x:f>'Source Data'!$X$10</x:f>
        <x:v>0.41</x:v>
      </x:c>
      <x:c r="F35" s="62" t="str">
        <x:f>'Source Data'!$AB$10</x:f>
        <x:v>0.52</x:v>
      </x:c>
      <x:c r="G35" s="60"/>
    </x:row>
    <x:row r="36" ht="18" customHeight="1">
      <x:c r="A36" s="6" t="str">
        <x:v>Efficacy rate</x:v>
      </x:c>
      <x:c r="B36" s="62" t="str">
        <x:f>'Source Data'!$M$10</x:f>
        <x:v>0.05</x:v>
      </x:c>
      <x:c r="C36" s="62" t="str">
        <x:f>'Source Data'!$Q$10</x:f>
        <x:v>0.25</x:v>
      </x:c>
      <x:c r="D36" s="62" t="str">
        <x:f>'Source Data'!$U$10</x:f>
        <x:v>0.25</x:v>
      </x:c>
      <x:c r="E36" s="62" t="str">
        <x:f>'Source Data'!$Y$10</x:f>
        <x:v>0.25</x:v>
      </x:c>
      <x:c r="F36" s="62" t="str">
        <x:f>'Source Data'!$AC$10</x:f>
        <x:v>0.25</x:v>
      </x:c>
      <x:c r="G36" s="60"/>
    </x:row>
    <x:row r="37" ht="18" customHeight="1">
      <x:c r="A37" s="70" t="str">
        <x:v>OBD selection (%)</x:v>
      </x:c>
      <x:c r="B37" s="72"/>
      <x:c r="C37" s="72"/>
      <x:c r="D37" s="72"/>
      <x:c r="E37" s="72"/>
      <x:c r="F37" s="72"/>
      <x:c r="G37" s="72"/>
    </x:row>
    <x:row r="38" ht="18" customHeight="1">
      <x:c r="A38" s="80" t="str">
        <x:v>TITE design</x:v>
      </x:c>
      <x:c r="B38" s="94" t="str">
        <x:f>'Source Data'!$N$4</x:f>
        <x:v>11.0</x:v>
      </x:c>
      <x:c r="C38" s="94" t="str">
        <x:f>'Source Data'!$R$4</x:f>
        <x:v>50.2</x:v>
      </x:c>
      <x:c r="D38" s="94" t="str">
        <x:f>'Source Data'!$V$4</x:f>
        <x:v>25.9</x:v>
      </x:c>
      <x:c r="E38" s="94" t="str">
        <x:f>'Source Data'!$Z$4</x:f>
        <x:v>8.8</x:v>
      </x:c>
      <x:c r="F38" s="94" t="str">
        <x:f>'Source Data'!$AD$4</x:f>
        <x:v>1.2</x:v>
      </x:c>
      <x:c r="G38" s="94" t="str">
        <x:f>'Source Data'!$H$4</x:f>
        <x:v>2.9000000000000057</x:v>
      </x:c>
    </x:row>
    <x:row r="39" ht="18" customHeight="1">
      <x:c r="A39" s="90" t="str">
        <x:v>New non-TITE design</x:v>
      </x:c>
      <x:c r="B39" s="95" t="str">
        <x:f>'Source Data'!$N$10</x:f>
        <x:v>10.4</x:v>
      </x:c>
      <x:c r="C39" s="95" t="str">
        <x:f>'Source Data'!$R$10</x:f>
        <x:v>47.7</x:v>
      </x:c>
      <x:c r="D39" s="95" t="str">
        <x:f>'Source Data'!$V$10</x:f>
        <x:v>25.6</x:v>
      </x:c>
      <x:c r="E39" s="95" t="str">
        <x:f>'Source Data'!$Z$10</x:f>
        <x:v>10.6</x:v>
      </x:c>
      <x:c r="F39" s="95" t="str">
        <x:f>'Source Data'!$AD$10</x:f>
        <x:v>2.7</x:v>
      </x:c>
      <x:c r="G39" s="95" t="str">
        <x:f>'Source Data'!$H$10</x:f>
        <x:v>3.0</x:v>
      </x:c>
    </x:row>
    <x:row r="40" ht="18" customHeight="1">
      <x:c r="A40" s="70" t="str">
        <x:v>Mean administrations by dose</x:v>
      </x:c>
      <x:c r="B40" s="72"/>
      <x:c r="C40" s="72"/>
      <x:c r="D40" s="72"/>
      <x:c r="E40" s="72"/>
      <x:c r="F40" s="72"/>
      <x:c r="G40" s="72"/>
    </x:row>
    <x:row r="41" ht="18" customHeight="1">
      <x:c r="A41" s="80" t="str">
        <x:v>TITE design</x:v>
      </x:c>
      <x:c r="B41" s="94" t="str">
        <x:f>'Source Data'!$O$4</x:f>
        <x:v>5.37</x:v>
      </x:c>
      <x:c r="C41" s="94" t="str">
        <x:f>'Source Data'!$S$4</x:f>
        <x:v>11.082</x:v>
      </x:c>
      <x:c r="D41" s="94" t="str">
        <x:f>'Source Data'!$W$4</x:f>
        <x:v>7.986</x:v>
      </x:c>
      <x:c r="E41" s="94" t="str">
        <x:f>'Source Data'!$AA$4</x:f>
        <x:v>3.753</x:v>
      </x:c>
      <x:c r="F41" s="94" t="str">
        <x:f>'Source Data'!$AE$4</x:f>
        <x:v>1.371</x:v>
      </x:c>
      <x:c r="G41" s="82"/>
    </x:row>
    <x:row r="42" ht="18" customHeight="1">
      <x:c r="A42" s="90" t="str">
        <x:v>New non-TITE design</x:v>
      </x:c>
      <x:c r="B42" s="95" t="str">
        <x:f>'Source Data'!$O$10</x:f>
        <x:v>5.682</x:v>
      </x:c>
      <x:c r="C42" s="95" t="str">
        <x:f>'Source Data'!$S$10</x:f>
        <x:v>9.475</x:v>
      </x:c>
      <x:c r="D42" s="95" t="str">
        <x:f>'Source Data'!$W$10</x:f>
        <x:v>7.978</x:v>
      </x:c>
      <x:c r="E42" s="95" t="str">
        <x:f>'Source Data'!$AA$10</x:f>
        <x:v>4.624</x:v>
      </x:c>
      <x:c r="F42" s="95" t="str">
        <x:f>'Source Data'!$AE$10</x:f>
        <x:v>1.77</x:v>
      </x:c>
      <x:c r="G42" s="92"/>
    </x:row>
    <x:row r="43" ht="18" customHeight="1">
      <x:c r="A43" s="70" t="str">
        <x:v>Run-level means</x:v>
      </x:c>
      <x:c r="B43" s="72" t="str">
        <x:v>Total admin.</x:v>
      </x:c>
      <x:c r="C43" s="72" t="str">
        <x:v>Unique patients</x:v>
      </x:c>
      <x:c r="D43" s="72" t="str">
        <x:v>Duration days</x:v>
      </x:c>
      <x:c r="E43" s="72"/>
      <x:c r="F43" s="72"/>
      <x:c r="G43" s="72"/>
    </x:row>
    <x:row r="44" ht="18" customHeight="1">
      <x:c r="A44" s="80" t="str">
        <x:v>TITE design</x:v>
      </x:c>
      <x:c r="B44" s="94" t="str">
        <x:f>'Source Data'!$I$4</x:f>
        <x:v>29.562</x:v>
      </x:c>
      <x:c r="C44" s="94" t="str">
        <x:f>'Source Data'!$J$4</x:f>
        <x:v>18.768</x:v>
      </x:c>
      <x:c r="D44" s="94" t="str">
        <x:f>'Source Data'!$K$4</x:f>
        <x:v>1102.63965162177</x:v>
      </x:c>
      <x:c r="E44" s="82"/>
      <x:c r="F44" s="82"/>
      <x:c r="G44" s="82"/>
    </x:row>
    <x:row r="45" ht="18" customHeight="1">
      <x:c r="A45" s="90" t="str">
        <x:v>New non-TITE design</x:v>
      </x:c>
      <x:c r="B45" s="95" t="str">
        <x:f>'Source Data'!$I$10</x:f>
        <x:v>29.529</x:v>
      </x:c>
      <x:c r="C45" s="95" t="str">
        <x:f>'Source Data'!$J$10</x:f>
        <x:v>19.018</x:v>
      </x:c>
      <x:c r="D45" s="95" t="str">
        <x:f>'Source Data'!$K$10</x:f>
        <x:v>1043.832</x:v>
      </x:c>
      <x:c r="E45" s="92"/>
      <x:c r="F45" s="92"/>
      <x:c r="G45" s="92"/>
    </x:row>
    <x:row r="47" ht="20" customHeight="1">
      <x:c r="A47" s="58" t="str">
        <x:v>Scenario 24</x:v>
      </x:c>
      <x:c r="B47" s="58"/>
      <x:c r="C47" s="58"/>
      <x:c r="D47" s="58"/>
      <x:c r="E47" s="58"/>
      <x:c r="F47" s="58"/>
      <x:c r="G47" s="58"/>
    </x:row>
    <x:row r="48" ht="18" customHeight="1">
      <x:c r="A48" s="6" t="str">
        <x:v>DLT rate</x:v>
      </x:c>
      <x:c r="B48" s="62" t="str">
        <x:f>'Source Data'!$L$11</x:f>
        <x:v>0.01</x:v>
      </x:c>
      <x:c r="C48" s="62" t="str">
        <x:f>'Source Data'!$P$11</x:f>
        <x:v>0.02</x:v>
      </x:c>
      <x:c r="D48" s="62" t="str">
        <x:f>'Source Data'!$T$11</x:f>
        <x:v>0.05</x:v>
      </x:c>
      <x:c r="E48" s="62" t="str">
        <x:f>'Source Data'!$X$11</x:f>
        <x:v>0.1</x:v>
      </x:c>
      <x:c r="F48" s="62" t="str">
        <x:f>'Source Data'!$AB$11</x:f>
        <x:v>0.25</x:v>
      </x:c>
      <x:c r="G48" s="60"/>
    </x:row>
    <x:row r="49" ht="18" customHeight="1">
      <x:c r="A49" s="6" t="str">
        <x:v>Efficacy rate</x:v>
      </x:c>
      <x:c r="B49" s="62" t="str">
        <x:f>'Source Data'!$M$11</x:f>
        <x:v>0.05</x:v>
      </x:c>
      <x:c r="C49" s="62" t="str">
        <x:f>'Source Data'!$Q$11</x:f>
        <x:v>0.08</x:v>
      </x:c>
      <x:c r="D49" s="62" t="str">
        <x:f>'Source Data'!$U$11</x:f>
        <x:v>0.2</x:v>
      </x:c>
      <x:c r="E49" s="62" t="str">
        <x:f>'Source Data'!$Y$11</x:f>
        <x:v>0.5</x:v>
      </x:c>
      <x:c r="F49" s="62" t="str">
        <x:f>'Source Data'!$AC$11</x:f>
        <x:v>0.5</x:v>
      </x:c>
      <x:c r="G49" s="60"/>
    </x:row>
    <x:row r="50" ht="18" customHeight="1">
      <x:c r="A50" s="70" t="str">
        <x:v>OBD selection (%)</x:v>
      </x:c>
      <x:c r="B50" s="72"/>
      <x:c r="C50" s="72"/>
      <x:c r="D50" s="72"/>
      <x:c r="E50" s="72"/>
      <x:c r="F50" s="72"/>
      <x:c r="G50" s="72"/>
    </x:row>
    <x:row r="51" ht="18" customHeight="1">
      <x:c r="A51" s="80" t="str">
        <x:v>TITE design</x:v>
      </x:c>
      <x:c r="B51" s="94" t="str">
        <x:f>'Source Data'!$N$5</x:f>
        <x:v>1.3</x:v>
      </x:c>
      <x:c r="C51" s="94" t="str">
        <x:f>'Source Data'!$R$5</x:f>
        <x:v>1.8</x:v>
      </x:c>
      <x:c r="D51" s="94" t="str">
        <x:f>'Source Data'!$V$5</x:f>
        <x:v>4.8</x:v>
      </x:c>
      <x:c r="E51" s="94" t="str">
        <x:f>'Source Data'!$Z$5</x:f>
        <x:v>56.0</x:v>
      </x:c>
      <x:c r="F51" s="94" t="str">
        <x:f>'Source Data'!$AD$5</x:f>
        <x:v>36.1</x:v>
      </x:c>
      <x:c r="G51" s="94" t="str">
        <x:f>'Source Data'!$H$5</x:f>
        <x:v>0.0</x:v>
      </x:c>
    </x:row>
    <x:row r="52" ht="18" customHeight="1">
      <x:c r="A52" s="90" t="str">
        <x:v>New non-TITE design</x:v>
      </x:c>
      <x:c r="B52" s="95" t="str">
        <x:f>'Source Data'!$N$11</x:f>
        <x:v>0.4</x:v>
      </x:c>
      <x:c r="C52" s="95" t="str">
        <x:f>'Source Data'!$R$11</x:f>
        <x:v>0.8</x:v>
      </x:c>
      <x:c r="D52" s="95" t="str">
        <x:f>'Source Data'!$V$11</x:f>
        <x:v>3.6</x:v>
      </x:c>
      <x:c r="E52" s="95" t="str">
        <x:f>'Source Data'!$Z$11</x:f>
        <x:v>56.6</x:v>
      </x:c>
      <x:c r="F52" s="95" t="str">
        <x:f>'Source Data'!$AD$11</x:f>
        <x:v>38.6</x:v>
      </x:c>
      <x:c r="G52" s="95" t="str">
        <x:f>'Source Data'!$H$11</x:f>
        <x:v>0.0</x:v>
      </x:c>
    </x:row>
    <x:row r="53" ht="18" customHeight="1">
      <x:c r="A53" s="70" t="str">
        <x:v>Mean administrations by dose</x:v>
      </x:c>
      <x:c r="B53" s="72"/>
      <x:c r="C53" s="72"/>
      <x:c r="D53" s="72"/>
      <x:c r="E53" s="72"/>
      <x:c r="F53" s="72"/>
      <x:c r="G53" s="72"/>
    </x:row>
    <x:row r="54" ht="18" customHeight="1">
      <x:c r="A54" s="80" t="str">
        <x:v>TITE design</x:v>
      </x:c>
      <x:c r="B54" s="94" t="str">
        <x:f>'Source Data'!$O$5</x:f>
        <x:v>3.426</x:v>
      </x:c>
      <x:c r="C54" s="94" t="str">
        <x:f>'Source Data'!$S$5</x:f>
        <x:v>3.48</x:v>
      </x:c>
      <x:c r="D54" s="94" t="str">
        <x:f>'Source Data'!$W$5</x:f>
        <x:v>4.479</x:v>
      </x:c>
      <x:c r="E54" s="94" t="str">
        <x:f>'Source Data'!$AA$5</x:f>
        <x:v>10.644</x:v>
      </x:c>
      <x:c r="F54" s="94" t="str">
        <x:f>'Source Data'!$AE$5</x:f>
        <x:v>7.971</x:v>
      </x:c>
      <x:c r="G54" s="82"/>
    </x:row>
    <x:row r="55" ht="18" customHeight="1">
      <x:c r="A55" s="90" t="str">
        <x:v>New non-TITE design</x:v>
      </x:c>
      <x:c r="B55" s="95" t="str">
        <x:f>'Source Data'!$O$11</x:f>
        <x:v>3.578</x:v>
      </x:c>
      <x:c r="C55" s="95" t="str">
        <x:f>'Source Data'!$S$11</x:f>
        <x:v>3.675</x:v>
      </x:c>
      <x:c r="D55" s="95" t="str">
        <x:f>'Source Data'!$W$11</x:f>
        <x:v>4.893</x:v>
      </x:c>
      <x:c r="E55" s="95" t="str">
        <x:f>'Source Data'!$AA$11</x:f>
        <x:v>9.434</x:v>
      </x:c>
      <x:c r="F55" s="95" t="str">
        <x:f>'Source Data'!$AE$11</x:f>
        <x:v>8.42</x:v>
      </x:c>
      <x:c r="G55" s="92"/>
    </x:row>
    <x:row r="56" ht="18" customHeight="1">
      <x:c r="A56" s="70" t="str">
        <x:v>Run-level means</x:v>
      </x:c>
      <x:c r="B56" s="72" t="str">
        <x:v>Total admin.</x:v>
      </x:c>
      <x:c r="C56" s="72" t="str">
        <x:v>Unique patients</x:v>
      </x:c>
      <x:c r="D56" s="72" t="str">
        <x:v>Duration days</x:v>
      </x:c>
      <x:c r="E56" s="72"/>
      <x:c r="F56" s="72"/>
      <x:c r="G56" s="72"/>
    </x:row>
    <x:row r="57" ht="18" customHeight="1">
      <x:c r="A57" s="80" t="str">
        <x:v>TITE design</x:v>
      </x:c>
      <x:c r="B57" s="94" t="str">
        <x:f>'Source Data'!$I$5</x:f>
        <x:v>30.0</x:v>
      </x:c>
      <x:c r="C57" s="94" t="str">
        <x:f>'Source Data'!$J$5</x:f>
        <x:v>19.527</x:v>
      </x:c>
      <x:c r="D57" s="94" t="str">
        <x:f>'Source Data'!$K$5</x:f>
        <x:v>1201.29316809362</x:v>
      </x:c>
      <x:c r="E57" s="82"/>
      <x:c r="F57" s="82"/>
      <x:c r="G57" s="82"/>
    </x:row>
    <x:row r="58" ht="18" customHeight="1">
      <x:c r="A58" s="90" t="str">
        <x:v>New non-TITE design</x:v>
      </x:c>
      <x:c r="B58" s="95" t="str">
        <x:f>'Source Data'!$I$11</x:f>
        <x:v>30.0</x:v>
      </x:c>
      <x:c r="C58" s="95" t="str">
        <x:f>'Source Data'!$J$11</x:f>
        <x:v>19.545</x:v>
      </x:c>
      <x:c r="D58" s="95" t="str">
        <x:f>'Source Data'!$K$11</x:f>
        <x:v>1076.6065</x:v>
      </x:c>
      <x:c r="E58" s="92"/>
      <x:c r="F58" s="92"/>
      <x:c r="G58" s="92"/>
    </x:row>
    <x:row r="60" ht="20" customHeight="1">
      <x:c r="A60" s="58" t="str">
        <x:v>Scenario 27</x:v>
      </x:c>
      <x:c r="B60" s="58"/>
      <x:c r="C60" s="58"/>
      <x:c r="D60" s="58"/>
      <x:c r="E60" s="58"/>
      <x:c r="F60" s="58"/>
      <x:c r="G60" s="58"/>
    </x:row>
    <x:row r="61" ht="18" customHeight="1">
      <x:c r="A61" s="6" t="str">
        <x:v>DLT rate</x:v>
      </x:c>
      <x:c r="B61" s="62" t="str">
        <x:f>'Source Data'!$L$12</x:f>
        <x:v>0.11</x:v>
      </x:c>
      <x:c r="C61" s="62" t="str">
        <x:f>'Source Data'!$P$12</x:f>
        <x:v>0.17</x:v>
      </x:c>
      <x:c r="D61" s="62" t="str">
        <x:f>'Source Data'!$T$12</x:f>
        <x:v>0.3</x:v>
      </x:c>
      <x:c r="E61" s="62" t="str">
        <x:f>'Source Data'!$X$12</x:f>
        <x:v>0.5</x:v>
      </x:c>
      <x:c r="F61" s="62" t="str">
        <x:f>'Source Data'!$AB$12</x:f>
        <x:v>0.62</x:v>
      </x:c>
      <x:c r="G61" s="60"/>
    </x:row>
    <x:row r="62" ht="18" customHeight="1">
      <x:c r="A62" s="6" t="str">
        <x:v>Efficacy rate</x:v>
      </x:c>
      <x:c r="B62" s="62" t="str">
        <x:f>'Source Data'!$M$12</x:f>
        <x:v>0.1</x:v>
      </x:c>
      <x:c r="C62" s="62" t="str">
        <x:f>'Source Data'!$Q$12</x:f>
        <x:v>0.2</x:v>
      </x:c>
      <x:c r="D62" s="62" t="str">
        <x:f>'Source Data'!$U$12</x:f>
        <x:v>0.4</x:v>
      </x:c>
      <x:c r="E62" s="62" t="str">
        <x:f>'Source Data'!$Y$12</x:f>
        <x:v>0.42</x:v>
      </x:c>
      <x:c r="F62" s="62" t="str">
        <x:f>'Source Data'!$AC$12</x:f>
        <x:v>0.45</x:v>
      </x:c>
      <x:c r="G62" s="60"/>
    </x:row>
    <x:row r="63" ht="18" customHeight="1">
      <x:c r="A63" s="70" t="str">
        <x:v>OBD selection (%)</x:v>
      </x:c>
      <x:c r="B63" s="72"/>
      <x:c r="C63" s="72"/>
      <x:c r="D63" s="72"/>
      <x:c r="E63" s="72"/>
      <x:c r="F63" s="72"/>
      <x:c r="G63" s="72"/>
    </x:row>
    <x:row r="64" ht="18" customHeight="1">
      <x:c r="A64" s="80" t="str">
        <x:v>TITE design</x:v>
      </x:c>
      <x:c r="B64" s="94" t="str">
        <x:f>'Source Data'!$N$6</x:f>
        <x:v>16.4</x:v>
      </x:c>
      <x:c r="C64" s="94" t="str">
        <x:f>'Source Data'!$R$6</x:f>
        <x:v>27.8</x:v>
      </x:c>
      <x:c r="D64" s="94" t="str">
        <x:f>'Source Data'!$V$6</x:f>
        <x:v>42.4</x:v>
      </x:c>
      <x:c r="E64" s="94" t="str">
        <x:f>'Source Data'!$Z$6</x:f>
        <x:v>6.8</x:v>
      </x:c>
      <x:c r="F64" s="94" t="str">
        <x:f>'Source Data'!$AD$6</x:f>
        <x:v>0.5</x:v>
      </x:c>
      <x:c r="G64" s="94" t="str">
        <x:f>'Source Data'!$H$6</x:f>
        <x:v>6.1000000000000085</x:v>
      </x:c>
    </x:row>
    <x:row r="65" ht="18" customHeight="1">
      <x:c r="A65" s="90" t="str">
        <x:v>New non-TITE design</x:v>
      </x:c>
      <x:c r="B65" s="95" t="str">
        <x:f>'Source Data'!$N$12</x:f>
        <x:v>10.5</x:v>
      </x:c>
      <x:c r="C65" s="95" t="str">
        <x:f>'Source Data'!$R$12</x:f>
        <x:v>23.6</x:v>
      </x:c>
      <x:c r="D65" s="95" t="str">
        <x:f>'Source Data'!$V$12</x:f>
        <x:v>46.6</x:v>
      </x:c>
      <x:c r="E65" s="95" t="str">
        <x:f>'Source Data'!$Z$12</x:f>
        <x:v>12.5</x:v>
      </x:c>
      <x:c r="F65" s="95" t="str">
        <x:f>'Source Data'!$AD$12</x:f>
        <x:v>1.1</x:v>
      </x:c>
      <x:c r="G65" s="95" t="str">
        <x:f>'Source Data'!$H$12</x:f>
        <x:v>5.7</x:v>
      </x:c>
    </x:row>
    <x:row r="66" ht="18" customHeight="1">
      <x:c r="A66" s="70" t="str">
        <x:v>Mean administrations by dose</x:v>
      </x:c>
      <x:c r="B66" s="72"/>
      <x:c r="C66" s="72"/>
      <x:c r="D66" s="72"/>
      <x:c r="E66" s="72"/>
      <x:c r="F66" s="72"/>
      <x:c r="G66" s="72"/>
    </x:row>
    <x:row r="67" ht="18" customHeight="1">
      <x:c r="A67" s="80" t="str">
        <x:v>TITE design</x:v>
      </x:c>
      <x:c r="B67" s="94" t="str">
        <x:f>'Source Data'!$O$6</x:f>
        <x:v>7.704</x:v>
      </x:c>
      <x:c r="C67" s="94" t="str">
        <x:f>'Source Data'!$S$6</x:f>
        <x:v>8.235</x:v>
      </x:c>
      <x:c r="D67" s="94" t="str">
        <x:f>'Source Data'!$W$6</x:f>
        <x:v>9.018</x:v>
      </x:c>
      <x:c r="E67" s="94" t="str">
        <x:f>'Source Data'!$AA$6</x:f>
        <x:v>3.324</x:v>
      </x:c>
      <x:c r="F67" s="94" t="str">
        <x:f>'Source Data'!$AE$6</x:f>
        <x:v>0.876</x:v>
      </x:c>
      <x:c r="G67" s="82"/>
    </x:row>
    <x:row r="68" ht="18" customHeight="1">
      <x:c r="A68" s="90" t="str">
        <x:v>New non-TITE design</x:v>
      </x:c>
      <x:c r="B68" s="95" t="str">
        <x:f>'Source Data'!$O$12</x:f>
        <x:v>7.443</x:v>
      </x:c>
      <x:c r="C68" s="95" t="str">
        <x:f>'Source Data'!$S$12</x:f>
        <x:v>8.201</x:v>
      </x:c>
      <x:c r="D68" s="95" t="str">
        <x:f>'Source Data'!$W$12</x:f>
        <x:v>8.446</x:v>
      </x:c>
      <x:c r="E68" s="95" t="str">
        <x:f>'Source Data'!$AA$12</x:f>
        <x:v>4.016</x:v>
      </x:c>
      <x:c r="F68" s="95" t="str">
        <x:f>'Source Data'!$AE$12</x:f>
        <x:v>1.078</x:v>
      </x:c>
      <x:c r="G68" s="92"/>
    </x:row>
    <x:row r="69" ht="18" customHeight="1">
      <x:c r="A69" s="70" t="str">
        <x:v>Run-level means</x:v>
      </x:c>
      <x:c r="B69" s="72" t="str">
        <x:v>Total admin.</x:v>
      </x:c>
      <x:c r="C69" s="72" t="str">
        <x:v>Unique patients</x:v>
      </x:c>
      <x:c r="D69" s="72" t="str">
        <x:v>Duration days</x:v>
      </x:c>
      <x:c r="E69" s="72"/>
      <x:c r="F69" s="72"/>
      <x:c r="G69" s="72"/>
    </x:row>
    <x:row r="70" ht="18" customHeight="1">
      <x:c r="A70" s="80" t="str">
        <x:v>TITE design</x:v>
      </x:c>
      <x:c r="B70" s="94" t="str">
        <x:f>'Source Data'!$I$6</x:f>
        <x:v>29.157</x:v>
      </x:c>
      <x:c r="C70" s="94" t="str">
        <x:f>'Source Data'!$J$6</x:f>
        <x:v>19.149</x:v>
      </x:c>
      <x:c r="D70" s="94" t="str">
        <x:f>'Source Data'!$K$6</x:f>
        <x:v>1115.47639196044</x:v>
      </x:c>
      <x:c r="E70" s="82"/>
      <x:c r="F70" s="82"/>
      <x:c r="G70" s="82"/>
    </x:row>
    <x:row r="71" ht="18" customHeight="1">
      <x:c r="A71" s="90" t="str">
        <x:v>New non-TITE design</x:v>
      </x:c>
      <x:c r="B71" s="95" t="str">
        <x:f>'Source Data'!$I$12</x:f>
        <x:v>29.184</x:v>
      </x:c>
      <x:c r="C71" s="95" t="str">
        <x:f>'Source Data'!$J$12</x:f>
        <x:v>19.451</x:v>
      </x:c>
      <x:c r="D71" s="95" t="str">
        <x:f>'Source Data'!$K$12</x:f>
        <x:v>1070.9197</x:v>
      </x:c>
      <x:c r="E71" s="92"/>
      <x:c r="F71" s="92"/>
      <x:c r="G71" s="92"/>
    </x:row>
    <x:row r="73" ht="20" customHeight="1">
      <x:c r="A73" s="58" t="str">
        <x:v>Scenario 38</x:v>
      </x:c>
      <x:c r="B73" s="58"/>
      <x:c r="C73" s="58"/>
      <x:c r="D73" s="58"/>
      <x:c r="E73" s="58"/>
      <x:c r="F73" s="58"/>
      <x:c r="G73" s="58"/>
    </x:row>
    <x:row r="74" ht="18" customHeight="1">
      <x:c r="A74" s="6" t="str">
        <x:v>DLT rate</x:v>
      </x:c>
      <x:c r="B74" s="62" t="str">
        <x:f>'Source Data'!$L$13</x:f>
        <x:v>0.05</x:v>
      </x:c>
      <x:c r="C74" s="62" t="str">
        <x:f>'Source Data'!$P$13</x:f>
        <x:v>0.1</x:v>
      </x:c>
      <x:c r="D74" s="62" t="str">
        <x:f>'Source Data'!$T$13</x:f>
        <x:v>0.12</x:v>
      </x:c>
      <x:c r="E74" s="62" t="str">
        <x:f>'Source Data'!$X$13</x:f>
        <x:v>0.15</x:v>
      </x:c>
      <x:c r="F74" s="62" t="str">
        <x:f>'Source Data'!$AB$13</x:f>
        <x:v>0.3</x:v>
      </x:c>
      <x:c r="G74" s="60"/>
    </x:row>
    <x:row r="75" ht="18" customHeight="1">
      <x:c r="A75" s="6" t="str">
        <x:v>Efficacy rate</x:v>
      </x:c>
      <x:c r="B75" s="62" t="str">
        <x:f>'Source Data'!$M$13</x:f>
        <x:v>0.05</x:v>
      </x:c>
      <x:c r="C75" s="62" t="str">
        <x:f>'Source Data'!$Q$13</x:f>
        <x:v>0.08</x:v>
      </x:c>
      <x:c r="D75" s="62" t="str">
        <x:f>'Source Data'!$U$13</x:f>
        <x:v>0.12</x:v>
      </x:c>
      <x:c r="E75" s="62" t="str">
        <x:f>'Source Data'!$Y$13</x:f>
        <x:v>0.15</x:v>
      </x:c>
      <x:c r="F75" s="62" t="str">
        <x:f>'Source Data'!$AC$13</x:f>
        <x:v>0.5</x:v>
      </x:c>
      <x:c r="G75" s="60"/>
    </x:row>
    <x:row r="76" ht="18" customHeight="1">
      <x:c r="A76" s="70" t="str">
        <x:v>OBD selection (%)</x:v>
      </x:c>
      <x:c r="B76" s="72"/>
      <x:c r="C76" s="72"/>
      <x:c r="D76" s="72"/>
      <x:c r="E76" s="72"/>
      <x:c r="F76" s="72"/>
      <x:c r="G76" s="72"/>
    </x:row>
    <x:row r="77" ht="18" customHeight="1">
      <x:c r="A77" s="80" t="str">
        <x:v>TITE design</x:v>
      </x:c>
      <x:c r="B77" s="94" t="str">
        <x:f>'Source Data'!$N$7</x:f>
        <x:v>17.2</x:v>
      </x:c>
      <x:c r="C77" s="94" t="str">
        <x:f>'Source Data'!$R$7</x:f>
        <x:v>10.0</x:v>
      </x:c>
      <x:c r="D77" s="94" t="str">
        <x:f>'Source Data'!$V$7</x:f>
        <x:v>8.9</x:v>
      </x:c>
      <x:c r="E77" s="94" t="str">
        <x:f>'Source Data'!$Z$7</x:f>
        <x:v>8.9</x:v>
      </x:c>
      <x:c r="F77" s="94" t="str">
        <x:f>'Source Data'!$AD$7</x:f>
        <x:v>53.5</x:v>
      </x:c>
      <x:c r="G77" s="94" t="str">
        <x:f>'Source Data'!$H$7</x:f>
        <x:v>1.5</x:v>
      </x:c>
    </x:row>
    <x:row r="78" ht="18" customHeight="1">
      <x:c r="A78" s="90" t="str">
        <x:v>New non-TITE design</x:v>
      </x:c>
      <x:c r="B78" s="95" t="str">
        <x:f>'Source Data'!$N$13</x:f>
        <x:v>11.7</x:v>
      </x:c>
      <x:c r="C78" s="95" t="str">
        <x:f>'Source Data'!$R$13</x:f>
        <x:v>6.0</x:v>
      </x:c>
      <x:c r="D78" s="95" t="str">
        <x:f>'Source Data'!$V$13</x:f>
        <x:v>5.5</x:v>
      </x:c>
      <x:c r="E78" s="95" t="str">
        <x:f>'Source Data'!$Z$13</x:f>
        <x:v>8.5</x:v>
      </x:c>
      <x:c r="F78" s="95" t="str">
        <x:f>'Source Data'!$AD$13</x:f>
        <x:v>67.3</x:v>
      </x:c>
      <x:c r="G78" s="95" t="str">
        <x:f>'Source Data'!$H$13</x:f>
        <x:v>1.0</x:v>
      </x:c>
    </x:row>
    <x:row r="79" ht="18" customHeight="1">
      <x:c r="A79" s="70" t="str">
        <x:v>Mean administrations by dose</x:v>
      </x:c>
      <x:c r="B79" s="72"/>
      <x:c r="C79" s="72"/>
      <x:c r="D79" s="72"/>
      <x:c r="E79" s="72"/>
      <x:c r="F79" s="72"/>
      <x:c r="G79" s="72"/>
    </x:row>
    <x:row r="80" ht="18" customHeight="1">
      <x:c r="A80" s="80" t="str">
        <x:v>TITE design</x:v>
      </x:c>
      <x:c r="B80" s="94" t="str">
        <x:f>'Source Data'!$O$7</x:f>
        <x:v>4.923</x:v>
      </x:c>
      <x:c r="C80" s="94" t="str">
        <x:f>'Source Data'!$S$7</x:f>
        <x:v>5.034</x:v>
      </x:c>
      <x:c r="D80" s="94" t="str">
        <x:f>'Source Data'!$W$7</x:f>
        <x:v>5.526</x:v>
      </x:c>
      <x:c r="E80" s="94" t="str">
        <x:f>'Source Data'!$AA$7</x:f>
        <x:v>5.358</x:v>
      </x:c>
      <x:c r="F80" s="94" t="str">
        <x:f>'Source Data'!$AE$7</x:f>
        <x:v>8.991</x:v>
      </x:c>
      <x:c r="G80" s="82"/>
    </x:row>
    <x:row r="81" ht="18" customHeight="1">
      <x:c r="A81" s="90" t="str">
        <x:v>New non-TITE design</x:v>
      </x:c>
      <x:c r="B81" s="95" t="str">
        <x:f>'Source Data'!$O$13</x:f>
        <x:v>4.711</x:v>
      </x:c>
      <x:c r="C81" s="95" t="str">
        <x:f>'Source Data'!$S$13</x:f>
        <x:v>4.795</x:v>
      </x:c>
      <x:c r="D81" s="95" t="str">
        <x:f>'Source Data'!$W$13</x:f>
        <x:v>5.288</x:v>
      </x:c>
      <x:c r="E81" s="95" t="str">
        <x:f>'Source Data'!$AA$13</x:f>
        <x:v>6.886</x:v>
      </x:c>
      <x:c r="F81" s="95" t="str">
        <x:f>'Source Data'!$AE$13</x:f>
        <x:v>8.164</x:v>
      </x:c>
      <x:c r="G81" s="92"/>
    </x:row>
    <x:row r="82" ht="18" customHeight="1">
      <x:c r="A82" s="70" t="str">
        <x:v>Run-level means</x:v>
      </x:c>
      <x:c r="B82" s="72" t="str">
        <x:v>Total admin.</x:v>
      </x:c>
      <x:c r="C82" s="72" t="str">
        <x:v>Unique patients</x:v>
      </x:c>
      <x:c r="D82" s="72" t="str">
        <x:v>Duration days</x:v>
      </x:c>
      <x:c r="E82" s="72"/>
      <x:c r="F82" s="72"/>
      <x:c r="G82" s="72"/>
    </x:row>
    <x:row r="83" ht="18" customHeight="1">
      <x:c r="A83" s="80" t="str">
        <x:v>TITE design</x:v>
      </x:c>
      <x:c r="B83" s="94" t="str">
        <x:f>'Source Data'!$I$7</x:f>
        <x:v>29.832</x:v>
      </x:c>
      <x:c r="C83" s="94" t="str">
        <x:f>'Source Data'!$J$7</x:f>
        <x:v>18.467</x:v>
      </x:c>
      <x:c r="D83" s="94" t="str">
        <x:f>'Source Data'!$K$7</x:f>
        <x:v>1123.73493583718</x:v>
      </x:c>
      <x:c r="E83" s="82"/>
      <x:c r="F83" s="82"/>
      <x:c r="G83" s="82"/>
    </x:row>
    <x:row r="84" ht="18" customHeight="1">
      <x:c r="A84" s="90" t="str">
        <x:v>New non-TITE design</x:v>
      </x:c>
      <x:c r="B84" s="95" t="str">
        <x:f>'Source Data'!$I$13</x:f>
        <x:v>29.844</x:v>
      </x:c>
      <x:c r="C84" s="95" t="str">
        <x:f>'Source Data'!$J$13</x:f>
        <x:v>18.53</x:v>
      </x:c>
      <x:c r="D84" s="95" t="str">
        <x:f>'Source Data'!$K$13</x:f>
        <x:v>1021.7263</x:v>
      </x:c>
      <x:c r="E84" s="92"/>
      <x:c r="F84" s="92"/>
      <x:c r="G84" s="92"/>
    </x:row>
  </x:sheetData>
  <x:mergeCells>
    <x:mergeCell ref="A1:G1"/>
    <x:mergeCell ref="A2:G2"/>
    <x:mergeCell ref="A4:G4"/>
    <x:mergeCell ref="A5:G5"/>
    <x:mergeCell ref="A8:G8"/>
    <x:mergeCell ref="A21:G21"/>
    <x:mergeCell ref="A34:G34"/>
    <x:mergeCell ref="A47:G47"/>
    <x:mergeCell ref="A60:G60"/>
    <x:mergeCell ref="A73:G73"/>
  </x:mergeCells>
  <x:pageMargins left="0.7" right="0.7" top="0.75" bottom="0.75" header="0.3" footer="0.3"/>
</x:worksheet>
</file>