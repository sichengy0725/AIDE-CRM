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3bba0ae78e4c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Data" sheetId="1" r:id="R92a5ac8b9c814b22"/>
    <x:sheet xmlns:r="http://schemas.openxmlformats.org/officeDocument/2006/relationships" name="Comparison" sheetId="2" r:id="R525735a6843343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"/>
  </x:numFmts>
  <x:fonts count="9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  <x:font>
      <x:b/>
      <x:sz val="16"/>
      <x:color rgb="FFFFFFFF"/>
      <x:name val="Carlito"/>
    </x:font>
    <x:font>
      <x:b/>
      <x:sz val="10"/>
      <x:color rgb="FF173F5F"/>
      <x:name val="Carlito"/>
    </x:font>
    <x:font>
      <x:i/>
      <x:sz val="9"/>
      <x:color rgb="FF7C2D12"/>
      <x:name val="Carlito"/>
    </x:font>
    <x:font>
      <x:b/>
      <x:sz val="11"/>
      <x:color rgb="FF173F5F"/>
      <x:name val="Carlito"/>
    </x:font>
    <x:font>
      <x:b/>
      <x:sz val="10"/>
      <x:color rgb="FF1F2937"/>
      <x:name val="Carlito"/>
    </x:font>
    <x:font>
      <x:sz val="10"/>
      <x:color rgb="FF1F293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EDF2F7"/>
      </x:patternFill>
    </x:fill>
    <x:fill>
      <x:patternFill patternType="solid">
        <x:fgColor rgb="FFFFF7ED"/>
      </x:patternFill>
    </x:fill>
    <x:fill>
      <x:patternFill patternType="solid">
        <x:fgColor rgb="FF0F766E"/>
      </x:patternFill>
    </x:fill>
    <x:fill>
      <x:patternFill patternType="solid">
        <x:fgColor rgb="FFD9E2F3"/>
      </x:patternFill>
    </x:fill>
    <x:fill>
      <x:patternFill patternType="solid">
        <x:fgColor rgb="FFE7E6E6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</x:fills>
  <x:borders count="8">
    <x:border/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F5F"/>
      </x:left>
      <x:right style="thin">
        <x:color rgb="FF173F5F"/>
      </x:right>
      <x:top style="thin">
        <x:color rgb="FF173F5F"/>
      </x:top>
      <x:bottom style="thin">
        <x:color rgb="FF173F5F"/>
      </x:bottom>
    </x:border>
    <x:border>
      <x:left style="thin">
        <x:color rgb="FF173F5F"/>
      </x:left>
      <x:right style="thin">
        <x:color rgb="FF173F5F"/>
      </x:right>
      <x:top style="thin">
        <x:color rgb="FF173F5F"/>
      </x:top>
      <x:bottom style="thin">
        <x:color rgb="FF173F5F"/>
      </x:bottom>
    </x:border>
    <x:border>
      <x:left style="thin">
        <x:color rgb="FF0F766E"/>
      </x:left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0F766E"/>
      </x:left>
      <x:right style="thin">
        <x:color rgb="FF0F766E"/>
      </x:right>
      <x:top style="thin">
        <x:color rgb="FF0F766E"/>
      </x:top>
      <x:bottom style="thin">
        <x:color rgb="FF0F766E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6" xfId="0" applyNumberFormat="1" applyFont="1" applyFill="1" applyBorder="1"/>
    <x:xf numFmtId="0" fontId="2" fillId="5" borderId="7" xfId="0" applyNumberFormat="1" applyFont="1" applyFill="1" applyBorder="1"/>
    <x:xf numFmtId="0" fontId="2" fillId="5" borderId="6" xfId="0" applyNumberFormat="1" applyFont="1" applyFill="1" applyBorder="1" applyAlignment="1">
      <x:alignment horizontal="center"/>
    </x:xf>
    <x:xf numFmtId="0" fontId="2" fillId="5" borderId="7" xfId="0" applyNumberFormat="1" applyFont="1" applyFill="1" applyBorder="1" applyAlignment="1">
      <x:alignment horizontal="center"/>
    </x:xf>
    <x:xf numFmtId="0" fontId="2" fillId="5" borderId="6" xfId="0" applyNumberFormat="1" applyFont="1" applyFill="1" applyBorder="1" applyAlignment="1">
      <x:alignment horizontal="center" vertical="center"/>
    </x:xf>
    <x:xf numFmtId="0" fontId="2" fillId="5" borderId="7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2" xfId="0" applyNumberFormat="1" applyFont="1" applyFill="1" applyBorder="1" applyAlignment="1">
      <x:alignment vertical="center"/>
    </x:xf>
    <x:xf numFmtId="0" fontId="6" fillId="6" borderId="3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</x:xf>
    <x:xf numFmtId="200" fontId="1" fillId="0" borderId="2" xfId="0" applyNumberFormat="1" applyFont="1" applyFill="1" applyBorder="1" applyAlignment="1">
      <x:alignment horizontal="center" vertical="center"/>
    </x:xf>
    <x:xf numFmtId="200" fontId="1" fillId="0" borderId="3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2" xfId="0" applyNumberFormat="1" applyFont="1" applyFill="1" applyBorder="1"/>
    <x:xf numFmtId="0" fontId="7" fillId="7" borderId="3" xfId="0" applyNumberFormat="1" applyFont="1" applyFill="1" applyBorder="1"/>
    <x:xf numFmtId="0" fontId="7" fillId="7" borderId="2" xfId="0" applyNumberFormat="1" applyFont="1" applyFill="1" applyBorder="1" applyAlignment="1">
      <x:alignment vertical="center"/>
    </x:xf>
    <x:xf numFmtId="0" fontId="7" fillId="7" borderId="3" xfId="0" applyNumberFormat="1" applyFont="1" applyFill="1" applyBorder="1" applyAlignment="1">
      <x:alignment vertical="center"/>
    </x:xf>
    <x:xf numFmtId="0" fontId="7" fillId="7" borderId="2" xfId="0" applyNumberFormat="1" applyFont="1" applyFill="1" applyBorder="1" applyAlignment="1">
      <x:alignment horizontal="center" vertical="center"/>
    </x:xf>
    <x:xf numFmtId="0" fontId="7" fillId="7" borderId="3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8" fillId="8" borderId="0" xfId="0" applyNumberFormat="1" applyFont="1" applyFill="1" applyBorder="1"/>
    <x:xf numFmtId="0" fontId="8" fillId="8" borderId="1" xfId="0" applyNumberFormat="1" applyFont="1" applyFill="1" applyBorder="1"/>
    <x:xf numFmtId="0" fontId="8" fillId="8" borderId="2" xfId="0" applyNumberFormat="1" applyFont="1" applyFill="1" applyBorder="1"/>
    <x:xf numFmtId="0" fontId="8" fillId="8" borderId="3" xfId="0" applyNumberFormat="1" applyFont="1" applyFill="1" applyBorder="1"/>
    <x:xf numFmtId="0" fontId="8" fillId="8" borderId="2" xfId="0" applyNumberFormat="1" applyFont="1" applyFill="1" applyBorder="1" applyAlignment="1">
      <x:alignment vertical="center"/>
    </x:xf>
    <x:xf numFmtId="0" fontId="8" fillId="8" borderId="3" xfId="0" applyNumberFormat="1" applyFont="1" applyFill="1" applyBorder="1" applyAlignment="1">
      <x:alignment vertical="center"/>
    </x:xf>
    <x:xf numFmtId="0" fontId="8" fillId="8" borderId="2" xfId="0" applyNumberFormat="1" applyFont="1" applyFill="1" applyBorder="1" applyAlignment="1">
      <x:alignment horizontal="center" vertical="center"/>
    </x:xf>
    <x:xf numFmtId="0" fontId="8" fillId="8" borderId="3" xfId="0" applyNumberFormat="1" applyFont="1" applyFill="1" applyBorder="1" applyAlignment="1">
      <x:alignment horizontal="center" vertical="center"/>
    </x:xf>
    <x:xf numFmtId="201" fontId="8" fillId="8" borderId="2" xfId="0" applyNumberFormat="1" applyFont="1" applyFill="1" applyBorder="1" applyAlignment="1">
      <x:alignment horizontal="center" vertical="center"/>
    </x:xf>
    <x:xf numFmtId="201" fontId="8" fillId="8" borderId="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7" fillId="9" borderId="0" xfId="0" applyNumberFormat="1" applyFont="1" applyFill="1" applyBorder="1"/>
    <x:xf numFmtId="0" fontId="7" fillId="9" borderId="1" xfId="0" applyNumberFormat="1" applyFont="1" applyFill="1" applyBorder="1"/>
    <x:xf numFmtId="0" fontId="7" fillId="9" borderId="2" xfId="0" applyNumberFormat="1" applyFont="1" applyFill="1" applyBorder="1"/>
    <x:xf numFmtId="0" fontId="7" fillId="9" borderId="3" xfId="0" applyNumberFormat="1" applyFont="1" applyFill="1" applyBorder="1"/>
    <x:xf numFmtId="0" fontId="7" fillId="9" borderId="2" xfId="0" applyNumberFormat="1" applyFont="1" applyFill="1" applyBorder="1" applyAlignment="1">
      <x:alignment vertical="center"/>
    </x:xf>
    <x:xf numFmtId="0" fontId="7" fillId="9" borderId="3" xfId="0" applyNumberFormat="1" applyFont="1" applyFill="1" applyBorder="1" applyAlignment="1">
      <x:alignment vertical="center"/>
    </x:xf>
    <x:xf numFmtId="0" fontId="7" fillId="9" borderId="2" xfId="0" applyNumberFormat="1" applyFont="1" applyFill="1" applyBorder="1" applyAlignment="1">
      <x:alignment horizontal="center" vertical="center"/>
    </x:xf>
    <x:xf numFmtId="0" fontId="7" fillId="9" borderId="3" xfId="0" applyNumberFormat="1" applyFont="1" applyFill="1" applyBorder="1" applyAlignment="1">
      <x:alignment horizontal="center" vertical="center"/>
    </x:xf>
    <x:xf numFmtId="201" fontId="7" fillId="9" borderId="2" xfId="0" applyNumberFormat="1" applyFont="1" applyFill="1" applyBorder="1" applyAlignment="1">
      <x:alignment horizontal="center" vertical="center"/>
    </x:xf>
    <x:xf numFmtId="201" fontId="7" fillId="9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5cf53a9ec14b99" /><Relationship Type="http://schemas.openxmlformats.org/officeDocument/2006/relationships/theme" Target="/xl/theme/theme1.xml" Id="Rcd5d347bf8ff40a6" /><Relationship Type="http://schemas.openxmlformats.org/officeDocument/2006/relationships/sharedStrings" Target="/xl/sharedStrings.xml" Id="R427fb6dbb6f142bd" /><Relationship Type="http://schemas.openxmlformats.org/officeDocument/2006/relationships/worksheet" Target="/xl/worksheets/sheet1.xml" Id="R92a5ac8b9c814b22" /><Relationship Type="http://schemas.openxmlformats.org/officeDocument/2006/relationships/worksheet" Target="/xl/worksheets/sheet2.xml" Id="R525735a6843343d1" /></Relationships>
</file>

<file path=xl/tables/table1.xml><?xml version="1.0" encoding="utf-8"?>
<x:table xmlns:x="http://schemas.openxmlformats.org/spreadsheetml/2006/main" id="1" name="ThreeDesignSource" displayName="ThreeDesignSource" ref="A1:AI37" headerRowCount="1" totalsRowCount="0" totalsRowShown="0">
  <x:tableColumns count="35">
    <x:tableColumn id="1" name="Scenario"/>
    <x:tableColumn id="2" name="Version"/>
    <x:tableColumn id="3" name="Design"/>
    <x:tableColumn id="4" name="Design_Key"/>
    <x:tableColumn id="5" name="Method"/>
    <x:tableColumn id="6" name="Available"/>
    <x:tableColumn id="7" name="Availability_Note"/>
    <x:tableColumn id="8" name="Source"/>
    <x:tableColumn id="9" name="Trials"/>
    <x:tableColumn id="10" name="True_MTD"/>
    <x:tableColumn id="11" name="True_OBD"/>
    <x:tableColumn id="12" name="No_OBD_Selection_pct"/>
    <x:tableColumn id="13" name="Mean_Total_Administrations"/>
    <x:tableColumn id="14" name="Mean_Total_Unique_Patients"/>
    <x:tableColumn id="15" name="Mean_Duration_days"/>
    <x:tableColumn id="16" name="True_DLT_Dose_1"/>
    <x:tableColumn id="17" name="True_Efficacy_Dose_1"/>
    <x:tableColumn id="18" name="OBD_Selection_Dose_1_pct"/>
    <x:tableColumn id="19" name="Mean_Administrations_Dose_1"/>
    <x:tableColumn id="20" name="True_DLT_Dose_2"/>
    <x:tableColumn id="21" name="True_Efficacy_Dose_2"/>
    <x:tableColumn id="22" name="OBD_Selection_Dose_2_pct"/>
    <x:tableColumn id="23" name="Mean_Administrations_Dose_2"/>
    <x:tableColumn id="24" name="True_DLT_Dose_3"/>
    <x:tableColumn id="25" name="True_Efficacy_Dose_3"/>
    <x:tableColumn id="26" name="OBD_Selection_Dose_3_pct"/>
    <x:tableColumn id="27" name="Mean_Administrations_Dose_3"/>
    <x:tableColumn id="28" name="True_DLT_Dose_4"/>
    <x:tableColumn id="29" name="True_Efficacy_Dose_4"/>
    <x:tableColumn id="30" name="OBD_Selection_Dose_4_pct"/>
    <x:tableColumn id="31" name="Mean_Administrations_Dose_4"/>
    <x:tableColumn id="32" name="True_DLT_Dose_5"/>
    <x:tableColumn id="33" name="True_Efficacy_Dose_5"/>
    <x:tableColumn id="34" name="OBD_Selection_Dose_5_pct"/>
    <x:tableColumn id="35" name="Mean_Administrations_Dose_5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f3f951502741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30" hidden="0" customWidth="1"/>
    <x:col min="4" max="4" width="30" hidden="0" customWidth="1"/>
    <x:col min="5" max="5" width="36" hidden="0" customWidth="1"/>
    <x:col min="6" max="6" width="11" hidden="0" customWidth="1"/>
    <x:col min="7" max="7" width="5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</x:cols>
  <x:sheetData>
    <x:row r="1" ht="32" customHeight="1">
      <x:c r="A1" s="16" t="str">
        <x:v>Scenario</x:v>
      </x:c>
      <x:c r="B1" s="16" t="str">
        <x:v>Version</x:v>
      </x:c>
      <x:c r="C1" s="16" t="str">
        <x:v>Design</x:v>
      </x:c>
      <x:c r="D1" s="16" t="str">
        <x:v>Design_Key</x:v>
      </x:c>
      <x:c r="E1" s="16" t="str">
        <x:v>Method</x:v>
      </x:c>
      <x:c r="F1" s="16" t="str">
        <x:v>Available</x:v>
      </x:c>
      <x:c r="G1" s="16" t="str">
        <x:v>Availability_Note</x:v>
      </x:c>
      <x:c r="H1" s="16" t="str">
        <x:v>Source</x:v>
      </x:c>
      <x:c r="I1" s="16" t="str">
        <x:v>Trials</x:v>
      </x:c>
      <x:c r="J1" s="16" t="str">
        <x:v>True_MTD</x:v>
      </x:c>
      <x:c r="K1" s="16" t="str">
        <x:v>True_OBD</x:v>
      </x:c>
      <x:c r="L1" s="16" t="str">
        <x:v>No_OBD_Selection_pct</x:v>
      </x:c>
      <x:c r="M1" s="16" t="str">
        <x:v>Mean_Total_Administrations</x:v>
      </x:c>
      <x:c r="N1" s="16" t="str">
        <x:v>Mean_Total_Unique_Patients</x:v>
      </x:c>
      <x:c r="O1" s="16" t="str">
        <x:v>Mean_Duration_days</x:v>
      </x:c>
      <x:c r="P1" s="16" t="str">
        <x:v>True_DLT_Dose_1</x:v>
      </x:c>
      <x:c r="Q1" s="16" t="str">
        <x:v>True_Efficacy_Dose_1</x:v>
      </x:c>
      <x:c r="R1" s="16" t="str">
        <x:v>OBD_Selection_Dose_1_pct</x:v>
      </x:c>
      <x:c r="S1" s="16" t="str">
        <x:v>Mean_Administrations_Dose_1</x:v>
      </x:c>
      <x:c r="T1" s="16" t="str">
        <x:v>True_DLT_Dose_2</x:v>
      </x:c>
      <x:c r="U1" s="16" t="str">
        <x:v>True_Efficacy_Dose_2</x:v>
      </x:c>
      <x:c r="V1" s="16" t="str">
        <x:v>OBD_Selection_Dose_2_pct</x:v>
      </x:c>
      <x:c r="W1" s="16" t="str">
        <x:v>Mean_Administrations_Dose_2</x:v>
      </x:c>
      <x:c r="X1" s="16" t="str">
        <x:v>True_DLT_Dose_3</x:v>
      </x:c>
      <x:c r="Y1" s="16" t="str">
        <x:v>True_Efficacy_Dose_3</x:v>
      </x:c>
      <x:c r="Z1" s="16" t="str">
        <x:v>OBD_Selection_Dose_3_pct</x:v>
      </x:c>
      <x:c r="AA1" s="16" t="str">
        <x:v>Mean_Administrations_Dose_3</x:v>
      </x:c>
      <x:c r="AB1" s="16" t="str">
        <x:v>True_DLT_Dose_4</x:v>
      </x:c>
      <x:c r="AC1" s="16" t="str">
        <x:v>True_Efficacy_Dose_4</x:v>
      </x:c>
      <x:c r="AD1" s="16" t="str">
        <x:v>OBD_Selection_Dose_4_pct</x:v>
      </x:c>
      <x:c r="AE1" s="16" t="str">
        <x:v>Mean_Administrations_Dose_4</x:v>
      </x:c>
      <x:c r="AF1" s="16" t="str">
        <x:v>True_DLT_Dose_5</x:v>
      </x:c>
      <x:c r="AG1" s="16" t="str">
        <x:v>True_Efficacy_Dose_5</x:v>
      </x:c>
      <x:c r="AH1" s="16" t="str">
        <x:v>OBD_Selection_Dose_5_pct</x:v>
      </x:c>
      <x:c r="AI1" s="16" t="str">
        <x:v>Mean_Administrations_Dose_5</x:v>
      </x:c>
    </x:row>
    <x:row r="2">
      <x:c r="A2" s="6" t="str">
        <x:v>1</x:v>
      </x:c>
      <x:c r="B2" s="6" t="str">
        <x:v>TITE</x:v>
      </x:c>
      <x:c r="C2" s="6" t="str">
        <x:v>One-stage (highest utility)</x:v>
      </x:c>
      <x:c r="D2" s="6" t="str">
        <x:v>one_stage</x:v>
      </x:c>
      <x:c r="E2" s="6" t="str">
        <x:v>TITE | one-stage</x:v>
      </x:c>
      <x:c r="F2" s="6" t="str">
        <x:v>True</x:v>
      </x:c>
      <x:c r="G2" s="6" t="str"/>
      <x:c r="H2" s="6" t="str">
        <x:v>TITE_AIDE_phase_I_II_IDX_1001_to_2000_dose_summary.csv</x:v>
      </x:c>
      <x:c r="I2" s="6" t="str">
        <x:v>1000</x:v>
      </x:c>
      <x:c r="J2" s="6" t="str">
        <x:v>1</x:v>
      </x:c>
      <x:c r="K2" s="6" t="str">
        <x:v>1</x:v>
      </x:c>
      <x:c r="L2" s="6" t="str">
        <x:v>70.5</x:v>
      </x:c>
      <x:c r="M2" s="6" t="str">
        <x:v>19.506</x:v>
      </x:c>
      <x:c r="N2" s="6" t="str">
        <x:v>12.38</x:v>
      </x:c>
      <x:c r="O2" s="6" t="str">
        <x:v>712.933895481201</x:v>
      </x:c>
      <x:c r="P2" s="6" t="str">
        <x:v>0.3</x:v>
      </x:c>
      <x:c r="Q2" s="6" t="str">
        <x:v>0.05</x:v>
      </x:c>
      <x:c r="R2" s="6" t="str">
        <x:v>18.2</x:v>
      </x:c>
      <x:c r="S2" s="6" t="str">
        <x:v>11.52</x:v>
      </x:c>
      <x:c r="T2" s="6" t="str">
        <x:v>0.35</x:v>
      </x:c>
      <x:c r="U2" s="6" t="str">
        <x:v>0.06</x:v>
      </x:c>
      <x:c r="V2" s="6" t="str">
        <x:v>9.1</x:v>
      </x:c>
      <x:c r="W2" s="6" t="str">
        <x:v>4.68</x:v>
      </x:c>
      <x:c r="X2" s="6" t="str">
        <x:v>0.4</x:v>
      </x:c>
      <x:c r="Y2" s="6" t="str">
        <x:v>0.07</x:v>
      </x:c>
      <x:c r="Z2" s="6" t="str">
        <x:v>1.8</x:v>
      </x:c>
      <x:c r="AA2" s="6" t="str">
        <x:v>2.112</x:v>
      </x:c>
      <x:c r="AB2" s="6" t="str">
        <x:v>0.45</x:v>
      </x:c>
      <x:c r="AC2" s="6" t="str">
        <x:v>0.08</x:v>
      </x:c>
      <x:c r="AD2" s="6" t="str">
        <x:v>0.4</x:v>
      </x:c>
      <x:c r="AE2" s="6" t="str">
        <x:v>0.909</x:v>
      </x:c>
      <x:c r="AF2" s="6" t="str">
        <x:v>0.5</x:v>
      </x:c>
      <x:c r="AG2" s="6" t="str">
        <x:v>0.09</x:v>
      </x:c>
      <x:c r="AH2" s="6" t="str">
        <x:v>0.0</x:v>
      </x:c>
      <x:c r="AI2" s="6" t="str">
        <x:v>0.285</x:v>
      </x:c>
    </x:row>
    <x:row r="3">
      <x:c r="A3" s="6" t="str">
        <x:v>1</x:v>
      </x:c>
      <x:c r="B3" s="6" t="str">
        <x:v>New non-TITE</x:v>
      </x:c>
      <x:c r="C3" s="6" t="str">
        <x:v>One-stage (highest utility)</x:v>
      </x:c>
      <x:c r="D3" s="6" t="str">
        <x:v>one_stage</x:v>
      </x:c>
      <x:c r="E3" s="6" t="str">
        <x:v>New non-TITE | one-stage</x:v>
      </x:c>
      <x:c r="F3" s="6" t="str">
        <x:v>True</x:v>
      </x:c>
      <x:c r="G3" s="6" t="str"/>
      <x:c r="H3" s="6" t="str">
        <x:v>AIDE_phase_I_II_modelsadditive_newdesign_shared_N30_ncycle2_rp0p15x0p85_rate56d_ep0p5x0p5_cp0p15x0p85_eth0p2_fut0p85_ap0p15x0p85_IDX_0001_to_1000_dose_summary.csv</x:v>
      </x:c>
      <x:c r="I3" s="6" t="str">
        <x:v>1000</x:v>
      </x:c>
      <x:c r="J3" s="6" t="str">
        <x:v>1</x:v>
      </x:c>
      <x:c r="K3" s="6" t="str">
        <x:v>1</x:v>
      </x:c>
      <x:c r="L3" s="6" t="str">
        <x:v>74.1</x:v>
      </x:c>
      <x:c r="M3" s="6" t="str">
        <x:v>19.017</x:v>
      </x:c>
      <x:c r="N3" s="6" t="str">
        <x:v>12.338</x:v>
      </x:c>
      <x:c r="O3" s="6" t="str">
        <x:v>675.292</x:v>
      </x:c>
      <x:c r="P3" s="6" t="str">
        <x:v>0.3</x:v>
      </x:c>
      <x:c r="Q3" s="6" t="str">
        <x:v>0.05</x:v>
      </x:c>
      <x:c r="R3" s="6" t="str">
        <x:v>17.4</x:v>
      </x:c>
      <x:c r="S3" s="6" t="str">
        <x:v>11.076</x:v>
      </x:c>
      <x:c r="T3" s="6" t="str">
        <x:v>0.35</x:v>
      </x:c>
      <x:c r="U3" s="6" t="str">
        <x:v>0.06</x:v>
      </x:c>
      <x:c r="V3" s="6" t="str">
        <x:v>6.4</x:v>
      </x:c>
      <x:c r="W3" s="6" t="str">
        <x:v>4.476</x:v>
      </x:c>
      <x:c r="X3" s="6" t="str">
        <x:v>0.4</x:v>
      </x:c>
      <x:c r="Y3" s="6" t="str">
        <x:v>0.07</x:v>
      </x:c>
      <x:c r="Z3" s="6" t="str">
        <x:v>1.8</x:v>
      </x:c>
      <x:c r="AA3" s="6" t="str">
        <x:v>2.25</x:v>
      </x:c>
      <x:c r="AB3" s="6" t="str">
        <x:v>0.45</x:v>
      </x:c>
      <x:c r="AC3" s="6" t="str">
        <x:v>0.08</x:v>
      </x:c>
      <x:c r="AD3" s="6" t="str">
        <x:v>0.1</x:v>
      </x:c>
      <x:c r="AE3" s="6" t="str">
        <x:v>0.912</x:v>
      </x:c>
      <x:c r="AF3" s="6" t="str">
        <x:v>0.5</x:v>
      </x:c>
      <x:c r="AG3" s="6" t="str">
        <x:v>0.09</x:v>
      </x:c>
      <x:c r="AH3" s="6" t="str">
        <x:v>0.2</x:v>
      </x:c>
      <x:c r="AI3" s="6" t="str">
        <x:v>0.303</x:v>
      </x:c>
    </x:row>
    <x:row r="4">
      <x:c r="A4" s="6" t="str">
        <x:v>16</x:v>
      </x:c>
      <x:c r="B4" s="6" t="str">
        <x:v>TITE</x:v>
      </x:c>
      <x:c r="C4" s="6" t="str">
        <x:v>One-stage (highest utility)</x:v>
      </x:c>
      <x:c r="D4" s="6" t="str">
        <x:v>one_stage</x:v>
      </x:c>
      <x:c r="E4" s="6" t="str">
        <x:v>TITE | one-stage</x:v>
      </x:c>
      <x:c r="F4" s="6" t="str">
        <x:v>True</x:v>
      </x:c>
      <x:c r="G4" s="6" t="str"/>
      <x:c r="H4" s="6" t="str">
        <x:v>TITE_AIDE_phase_I_II_IDX_1001_to_2000_dose_summary.csv</x:v>
      </x:c>
      <x:c r="I4" s="6" t="str">
        <x:v>1000</x:v>
      </x:c>
      <x:c r="J4" s="6" t="str">
        <x:v>5</x:v>
      </x:c>
      <x:c r="K4" s="6" t="str">
        <x:v>1</x:v>
      </x:c>
      <x:c r="L4" s="6" t="str">
        <x:v>0.10000000000000853</x:v>
      </x:c>
      <x:c r="M4" s="6" t="str">
        <x:v>29.997</x:v>
      </x:c>
      <x:c r="N4" s="6" t="str">
        <x:v>17.973</x:v>
      </x:c>
      <x:c r="O4" s="6" t="str">
        <x:v>1082.20374335625</x:v>
      </x:c>
      <x:c r="P4" s="6" t="str">
        <x:v>0.02</x:v>
      </x:c>
      <x:c r="Q4" s="6" t="str">
        <x:v>0.2</x:v>
      </x:c>
      <x:c r="R4" s="6" t="str">
        <x:v>29.2</x:v>
      </x:c>
      <x:c r="S4" s="6" t="str">
        <x:v>7.059</x:v>
      </x:c>
      <x:c r="T4" s="6" t="str">
        <x:v>0.06</x:v>
      </x:c>
      <x:c r="U4" s="6" t="str">
        <x:v>0.2</x:v>
      </x:c>
      <x:c r="V4" s="6" t="str">
        <x:v>22.6</x:v>
      </x:c>
      <x:c r="W4" s="6" t="str">
        <x:v>6.789</x:v>
      </x:c>
      <x:c r="X4" s="6" t="str">
        <x:v>0.09</x:v>
      </x:c>
      <x:c r="Y4" s="6" t="str">
        <x:v>0.2</x:v>
      </x:c>
      <x:c r="Z4" s="6" t="str">
        <x:v>19.8</x:v>
      </x:c>
      <x:c r="AA4" s="6" t="str">
        <x:v>5.88</x:v>
      </x:c>
      <x:c r="AB4" s="6" t="str">
        <x:v>0.14</x:v>
      </x:c>
      <x:c r="AC4" s="6" t="str">
        <x:v>0.2</x:v>
      </x:c>
      <x:c r="AD4" s="6" t="str">
        <x:v>15.5</x:v>
      </x:c>
      <x:c r="AE4" s="6" t="str">
        <x:v>5.685</x:v>
      </x:c>
      <x:c r="AF4" s="6" t="str">
        <x:v>0.26</x:v>
      </x:c>
      <x:c r="AG4" s="6" t="str">
        <x:v>0.2</x:v>
      </x:c>
      <x:c r="AH4" s="6" t="str">
        <x:v>12.8</x:v>
      </x:c>
      <x:c r="AI4" s="6" t="str">
        <x:v>4.584</x:v>
      </x:c>
    </x:row>
    <x:row r="5">
      <x:c r="A5" s="6" t="str">
        <x:v>16</x:v>
      </x:c>
      <x:c r="B5" s="6" t="str">
        <x:v>New non-TITE</x:v>
      </x:c>
      <x:c r="C5" s="6" t="str">
        <x:v>One-stage (highest utility)</x:v>
      </x:c>
      <x:c r="D5" s="6" t="str">
        <x:v>one_stage</x:v>
      </x:c>
      <x:c r="E5" s="6" t="str">
        <x:v>New non-TITE | one-stage</x:v>
      </x:c>
      <x:c r="F5" s="6" t="str">
        <x:v>True</x:v>
      </x:c>
      <x:c r="G5" s="6" t="str"/>
      <x:c r="H5" s="6" t="str">
        <x:v>AIDE_phase_I_II_modelsadditive_newdesign_shared_N30_ncycle2_rp0p15x0p85_rate56d_ep0p5x0p5_cp0p15x0p85_eth0p2_fut0p85_ap0p15x0p85_IDX_0001_to_1000_dose_summary.csv</x:v>
      </x:c>
      <x:c r="I5" s="6" t="str">
        <x:v>1000</x:v>
      </x:c>
      <x:c r="J5" s="6" t="str">
        <x:v>5</x:v>
      </x:c>
      <x:c r="K5" s="6" t="str">
        <x:v>1</x:v>
      </x:c>
      <x:c r="L5" s="6" t="str">
        <x:v>0.0</x:v>
      </x:c>
      <x:c r="M5" s="6" t="str">
        <x:v>30.0</x:v>
      </x:c>
      <x:c r="N5" s="6" t="str">
        <x:v>18.216</x:v>
      </x:c>
      <x:c r="O5" s="6" t="str">
        <x:v>1000.2187</x:v>
      </x:c>
      <x:c r="P5" s="6" t="str">
        <x:v>0.02</x:v>
      </x:c>
      <x:c r="Q5" s="6" t="str">
        <x:v>0.2</x:v>
      </x:c>
      <x:c r="R5" s="6" t="str">
        <x:v>28.7</x:v>
      </x:c>
      <x:c r="S5" s="6" t="str">
        <x:v>7.278</x:v>
      </x:c>
      <x:c r="T5" s="6" t="str">
        <x:v>0.06</x:v>
      </x:c>
      <x:c r="U5" s="6" t="str">
        <x:v>0.2</x:v>
      </x:c>
      <x:c r="V5" s="6" t="str">
        <x:v>21.3</x:v>
      </x:c>
      <x:c r="W5" s="6" t="str">
        <x:v>6.618</x:v>
      </x:c>
      <x:c r="X5" s="6" t="str">
        <x:v>0.09</x:v>
      </x:c>
      <x:c r="Y5" s="6" t="str">
        <x:v>0.2</x:v>
      </x:c>
      <x:c r="Z5" s="6" t="str">
        <x:v>20.9</x:v>
      </x:c>
      <x:c r="AA5" s="6" t="str">
        <x:v>5.745</x:v>
      </x:c>
      <x:c r="AB5" s="6" t="str">
        <x:v>0.14</x:v>
      </x:c>
      <x:c r="AC5" s="6" t="str">
        <x:v>0.2</x:v>
      </x:c>
      <x:c r="AD5" s="6" t="str">
        <x:v>18.1</x:v>
      </x:c>
      <x:c r="AE5" s="6" t="str">
        <x:v>5.709</x:v>
      </x:c>
      <x:c r="AF5" s="6" t="str">
        <x:v>0.26</x:v>
      </x:c>
      <x:c r="AG5" s="6" t="str">
        <x:v>0.2</x:v>
      </x:c>
      <x:c r="AH5" s="6" t="str">
        <x:v>11.0</x:v>
      </x:c>
      <x:c r="AI5" s="6" t="str">
        <x:v>4.65</x:v>
      </x:c>
    </x:row>
    <x:row r="6">
      <x:c r="A6" s="6" t="str">
        <x:v>20</x:v>
      </x:c>
      <x:c r="B6" s="6" t="str">
        <x:v>TITE</x:v>
      </x:c>
      <x:c r="C6" s="6" t="str">
        <x:v>One-stage (highest utility)</x:v>
      </x:c>
      <x:c r="D6" s="6" t="str">
        <x:v>one_stage</x:v>
      </x:c>
      <x:c r="E6" s="6" t="str">
        <x:v>TITE | one-stage</x:v>
      </x:c>
      <x:c r="F6" s="6" t="str">
        <x:v>True</x:v>
      </x:c>
      <x:c r="G6" s="6" t="str"/>
      <x:c r="H6" s="6" t="str">
        <x:v>TITE_AIDE_phase_I_II_IDX_1001_to_2000_dose_summary.csv</x:v>
      </x:c>
      <x:c r="I6" s="6" t="str">
        <x:v>1000</x:v>
      </x:c>
      <x:c r="J6" s="6" t="str">
        <x:v>3</x:v>
      </x:c>
      <x:c r="K6" s="6" t="str">
        <x:v>2</x:v>
      </x:c>
      <x:c r="L6" s="6" t="str">
        <x:v>2.8000000000000114</x:v>
      </x:c>
      <x:c r="M6" s="6" t="str">
        <x:v>29.553</x:v>
      </x:c>
      <x:c r="N6" s="6" t="str">
        <x:v>18.777</x:v>
      </x:c>
      <x:c r="O6" s="6" t="str">
        <x:v>1104.1705949236</x:v>
      </x:c>
      <x:c r="P6" s="6" t="str">
        <x:v>0.07</x:v>
      </x:c>
      <x:c r="Q6" s="6" t="str">
        <x:v>0.05</x:v>
      </x:c>
      <x:c r="R6" s="6" t="str">
        <x:v>10.1</x:v>
      </x:c>
      <x:c r="S6" s="6" t="str">
        <x:v>5.133</x:v>
      </x:c>
      <x:c r="T6" s="6" t="str">
        <x:v>0.14</x:v>
      </x:c>
      <x:c r="U6" s="6" t="str">
        <x:v>0.25</x:v>
      </x:c>
      <x:c r="V6" s="6" t="str">
        <x:v>45.3</x:v>
      </x:c>
      <x:c r="W6" s="6" t="str">
        <x:v>10.644</x:v>
      </x:c>
      <x:c r="X6" s="6" t="str">
        <x:v>0.31</x:v>
      </x:c>
      <x:c r="Y6" s="6" t="str">
        <x:v>0.25</x:v>
      </x:c>
      <x:c r="Z6" s="6" t="str">
        <x:v>26.7</x:v>
      </x:c>
      <x:c r="AA6" s="6" t="str">
        <x:v>7.878</x:v>
      </x:c>
      <x:c r="AB6" s="6" t="str">
        <x:v>0.41</x:v>
      </x:c>
      <x:c r="AC6" s="6" t="str">
        <x:v>0.25</x:v>
      </x:c>
      <x:c r="AD6" s="6" t="str">
        <x:v>13.5</x:v>
      </x:c>
      <x:c r="AE6" s="6" t="str">
        <x:v>4.467</x:v>
      </x:c>
      <x:c r="AF6" s="6" t="str">
        <x:v>0.52</x:v>
      </x:c>
      <x:c r="AG6" s="6" t="str">
        <x:v>0.25</x:v>
      </x:c>
      <x:c r="AH6" s="6" t="str">
        <x:v>1.6</x:v>
      </x:c>
      <x:c r="AI6" s="6" t="str">
        <x:v>1.431</x:v>
      </x:c>
    </x:row>
    <x:row r="7">
      <x:c r="A7" s="6" t="str">
        <x:v>20</x:v>
      </x:c>
      <x:c r="B7" s="6" t="str">
        <x:v>New non-TITE</x:v>
      </x:c>
      <x:c r="C7" s="6" t="str">
        <x:v>One-stage (highest utility)</x:v>
      </x:c>
      <x:c r="D7" s="6" t="str">
        <x:v>one_stage</x:v>
      </x:c>
      <x:c r="E7" s="6" t="str">
        <x:v>New non-TITE | one-stage</x:v>
      </x:c>
      <x:c r="F7" s="6" t="str">
        <x:v>True</x:v>
      </x:c>
      <x:c r="G7" s="6" t="str"/>
      <x:c r="H7" s="6" t="str">
        <x:v>AIDE_phase_I_II_modelsadditive_newdesign_shared_N30_ncycle2_rp0p15x0p85_rate56d_ep0p5x0p5_cp0p15x0p85_eth0p2_fut0p85_ap0p15x0p85_IDX_0001_to_1000_dose_summary.csv</x:v>
      </x:c>
      <x:c r="I7" s="6" t="str">
        <x:v>1000</x:v>
      </x:c>
      <x:c r="J7" s="6" t="str">
        <x:v>3</x:v>
      </x:c>
      <x:c r="K7" s="6" t="str">
        <x:v>2</x:v>
      </x:c>
      <x:c r="L7" s="6" t="str">
        <x:v>2.7</x:v>
      </x:c>
      <x:c r="M7" s="6" t="str">
        <x:v>29.517</x:v>
      </x:c>
      <x:c r="N7" s="6" t="str">
        <x:v>18.864</x:v>
      </x:c>
      <x:c r="O7" s="6" t="str">
        <x:v>1036.3184</x:v>
      </x:c>
      <x:c r="P7" s="6" t="str">
        <x:v>0.07</x:v>
      </x:c>
      <x:c r="Q7" s="6" t="str">
        <x:v>0.05</x:v>
      </x:c>
      <x:c r="R7" s="6" t="str">
        <x:v>15.2</x:v>
      </x:c>
      <x:c r="S7" s="6" t="str">
        <x:v>5.208</x:v>
      </x:c>
      <x:c r="T7" s="6" t="str">
        <x:v>0.14</x:v>
      </x:c>
      <x:c r="U7" s="6" t="str">
        <x:v>0.25</x:v>
      </x:c>
      <x:c r="V7" s="6" t="str">
        <x:v>44.0</x:v>
      </x:c>
      <x:c r="W7" s="6" t="str">
        <x:v>11.067</x:v>
      </x:c>
      <x:c r="X7" s="6" t="str">
        <x:v>0.31</x:v>
      </x:c>
      <x:c r="Y7" s="6" t="str">
        <x:v>0.25</x:v>
      </x:c>
      <x:c r="Z7" s="6" t="str">
        <x:v>25.1</x:v>
      </x:c>
      <x:c r="AA7" s="6" t="str">
        <x:v>7.626</x:v>
      </x:c>
      <x:c r="AB7" s="6" t="str">
        <x:v>0.41</x:v>
      </x:c>
      <x:c r="AC7" s="6" t="str">
        <x:v>0.25</x:v>
      </x:c>
      <x:c r="AD7" s="6" t="str">
        <x:v>11.4</x:v>
      </x:c>
      <x:c r="AE7" s="6" t="str">
        <x:v>4.233</x:v>
      </x:c>
      <x:c r="AF7" s="6" t="str">
        <x:v>0.52</x:v>
      </x:c>
      <x:c r="AG7" s="6" t="str">
        <x:v>0.25</x:v>
      </x:c>
      <x:c r="AH7" s="6" t="str">
        <x:v>1.6</x:v>
      </x:c>
      <x:c r="AI7" s="6" t="str">
        <x:v>1.383</x:v>
      </x:c>
    </x:row>
    <x:row r="8">
      <x:c r="A8" s="6" t="str">
        <x:v>24</x:v>
      </x:c>
      <x:c r="B8" s="6" t="str">
        <x:v>TITE</x:v>
      </x:c>
      <x:c r="C8" s="6" t="str">
        <x:v>One-stage (highest utility)</x:v>
      </x:c>
      <x:c r="D8" s="6" t="str">
        <x:v>one_stage</x:v>
      </x:c>
      <x:c r="E8" s="6" t="str">
        <x:v>TITE | one-stage</x:v>
      </x:c>
      <x:c r="F8" s="6" t="str">
        <x:v>True</x:v>
      </x:c>
      <x:c r="G8" s="6" t="str"/>
      <x:c r="H8" s="6" t="str">
        <x:v>TITE_AIDE_phase_I_II_IDX_1001_to_2000_dose_summary.csv</x:v>
      </x:c>
      <x:c r="I8" s="6" t="str">
        <x:v>1000</x:v>
      </x:c>
      <x:c r="J8" s="6" t="str">
        <x:v>5</x:v>
      </x:c>
      <x:c r="K8" s="6" t="str">
        <x:v>4</x:v>
      </x:c>
      <x:c r="L8" s="6" t="str">
        <x:v>0.0</x:v>
      </x:c>
      <x:c r="M8" s="6" t="str">
        <x:v>30.0</x:v>
      </x:c>
      <x:c r="N8" s="6" t="str">
        <x:v>19.489</x:v>
      </x:c>
      <x:c r="O8" s="6" t="str">
        <x:v>1203.39818630575</x:v>
      </x:c>
      <x:c r="P8" s="6" t="str">
        <x:v>0.01</x:v>
      </x:c>
      <x:c r="Q8" s="6" t="str">
        <x:v>0.05</x:v>
      </x:c>
      <x:c r="R8" s="6" t="str">
        <x:v>1.1</x:v>
      </x:c>
      <x:c r="S8" s="6" t="str">
        <x:v>3.426</x:v>
      </x:c>
      <x:c r="T8" s="6" t="str">
        <x:v>0.02</x:v>
      </x:c>
      <x:c r="U8" s="6" t="str">
        <x:v>0.08</x:v>
      </x:c>
      <x:c r="V8" s="6" t="str">
        <x:v>1.1</x:v>
      </x:c>
      <x:c r="W8" s="6" t="str">
        <x:v>3.447</x:v>
      </x:c>
      <x:c r="X8" s="6" t="str">
        <x:v>0.05</x:v>
      </x:c>
      <x:c r="Y8" s="6" t="str">
        <x:v>0.2</x:v>
      </x:c>
      <x:c r="Z8" s="6" t="str">
        <x:v>4.2</x:v>
      </x:c>
      <x:c r="AA8" s="6" t="str">
        <x:v>4.449</x:v>
      </x:c>
      <x:c r="AB8" s="6" t="str">
        <x:v>0.1</x:v>
      </x:c>
      <x:c r="AC8" s="6" t="str">
        <x:v>0.5</x:v>
      </x:c>
      <x:c r="AD8" s="6" t="str">
        <x:v>59.7</x:v>
      </x:c>
      <x:c r="AE8" s="6" t="str">
        <x:v>12.201</x:v>
      </x:c>
      <x:c r="AF8" s="6" t="str">
        <x:v>0.25</x:v>
      </x:c>
      <x:c r="AG8" s="6" t="str">
        <x:v>0.5</x:v>
      </x:c>
      <x:c r="AH8" s="6" t="str">
        <x:v>33.9</x:v>
      </x:c>
      <x:c r="AI8" s="6" t="str">
        <x:v>6.477</x:v>
      </x:c>
    </x:row>
    <x:row r="9">
      <x:c r="A9" s="6" t="str">
        <x:v>24</x:v>
      </x:c>
      <x:c r="B9" s="6" t="str">
        <x:v>New non-TITE</x:v>
      </x:c>
      <x:c r="C9" s="6" t="str">
        <x:v>One-stage (highest utility)</x:v>
      </x:c>
      <x:c r="D9" s="6" t="str">
        <x:v>one_stage</x:v>
      </x:c>
      <x:c r="E9" s="6" t="str">
        <x:v>New non-TITE | one-stage</x:v>
      </x:c>
      <x:c r="F9" s="6" t="str">
        <x:v>True</x:v>
      </x:c>
      <x:c r="G9" s="6" t="str"/>
      <x:c r="H9" s="6" t="str">
        <x:v>AIDE_phase_I_II_modelsadditive_newdesign_shared_N30_ncycle2_rp0p15x0p85_rate56d_ep0p5x0p5_cp0p15x0p85_eth0p2_fut0p85_ap0p15x0p85_IDX_0001_to_1000_dose_summary.csv</x:v>
      </x:c>
      <x:c r="I9" s="6" t="str">
        <x:v>1000</x:v>
      </x:c>
      <x:c r="J9" s="6" t="str">
        <x:v>5</x:v>
      </x:c>
      <x:c r="K9" s="6" t="str">
        <x:v>4</x:v>
      </x:c>
      <x:c r="L9" s="6" t="str">
        <x:v>0.0</x:v>
      </x:c>
      <x:c r="M9" s="6" t="str">
        <x:v>30.0</x:v>
      </x:c>
      <x:c r="N9" s="6" t="str">
        <x:v>19.565</x:v>
      </x:c>
      <x:c r="O9" s="6" t="str">
        <x:v>1080.2598</x:v>
      </x:c>
      <x:c r="P9" s="6" t="str">
        <x:v>0.01</x:v>
      </x:c>
      <x:c r="Q9" s="6" t="str">
        <x:v>0.05</x:v>
      </x:c>
      <x:c r="R9" s="6" t="str">
        <x:v>1.4</x:v>
      </x:c>
      <x:c r="S9" s="6" t="str">
        <x:v>3.411</x:v>
      </x:c>
      <x:c r="T9" s="6" t="str">
        <x:v>0.02</x:v>
      </x:c>
      <x:c r="U9" s="6" t="str">
        <x:v>0.08</x:v>
      </x:c>
      <x:c r="V9" s="6" t="str">
        <x:v>1.4</x:v>
      </x:c>
      <x:c r="W9" s="6" t="str">
        <x:v>3.471</x:v>
      </x:c>
      <x:c r="X9" s="6" t="str">
        <x:v>0.05</x:v>
      </x:c>
      <x:c r="Y9" s="6" t="str">
        <x:v>0.2</x:v>
      </x:c>
      <x:c r="Z9" s="6" t="str">
        <x:v>4.7</x:v>
      </x:c>
      <x:c r="AA9" s="6" t="str">
        <x:v>4.413</x:v>
      </x:c>
      <x:c r="AB9" s="6" t="str">
        <x:v>0.1</x:v>
      </x:c>
      <x:c r="AC9" s="6" t="str">
        <x:v>0.5</x:v>
      </x:c>
      <x:c r="AD9" s="6" t="str">
        <x:v>59.1</x:v>
      </x:c>
      <x:c r="AE9" s="6" t="str">
        <x:v>12.264</x:v>
      </x:c>
      <x:c r="AF9" s="6" t="str">
        <x:v>0.25</x:v>
      </x:c>
      <x:c r="AG9" s="6" t="str">
        <x:v>0.5</x:v>
      </x:c>
      <x:c r="AH9" s="6" t="str">
        <x:v>33.4</x:v>
      </x:c>
      <x:c r="AI9" s="6" t="str">
        <x:v>6.441</x:v>
      </x:c>
    </x:row>
    <x:row r="10">
      <x:c r="A10" s="6" t="str">
        <x:v>27</x:v>
      </x:c>
      <x:c r="B10" s="6" t="str">
        <x:v>TITE</x:v>
      </x:c>
      <x:c r="C10" s="6" t="str">
        <x:v>One-stage (highest utility)</x:v>
      </x:c>
      <x:c r="D10" s="6" t="str">
        <x:v>one_stage</x:v>
      </x:c>
      <x:c r="E10" s="6" t="str">
        <x:v>TITE | one-stage</x:v>
      </x:c>
      <x:c r="F10" s="6" t="str">
        <x:v>True</x:v>
      </x:c>
      <x:c r="G10" s="6" t="str"/>
      <x:c r="H10" s="6" t="str">
        <x:v>TITE_AIDE_phase_I_II_IDX_1001_to_2000_dose_summary.csv</x:v>
      </x:c>
      <x:c r="I10" s="6" t="str">
        <x:v>1000</x:v>
      </x:c>
      <x:c r="J10" s="6" t="str">
        <x:v>3</x:v>
      </x:c>
      <x:c r="K10" s="6" t="str">
        <x:v>3</x:v>
      </x:c>
      <x:c r="L10" s="6" t="str">
        <x:v>5.1000000000000085</x:v>
      </x:c>
      <x:c r="M10" s="6" t="str">
        <x:v>29.175</x:v>
      </x:c>
      <x:c r="N10" s="6" t="str">
        <x:v>19.27</x:v>
      </x:c>
      <x:c r="O10" s="6" t="str">
        <x:v>1131.08300482828</x:v>
      </x:c>
      <x:c r="P10" s="6" t="str">
        <x:v>0.11</x:v>
      </x:c>
      <x:c r="Q10" s="6" t="str">
        <x:v>0.1</x:v>
      </x:c>
      <x:c r="R10" s="6" t="str">
        <x:v>13.0</x:v>
      </x:c>
      <x:c r="S10" s="6" t="str">
        <x:v>6.816</x:v>
      </x:c>
      <x:c r="T10" s="6" t="str">
        <x:v>0.17</x:v>
      </x:c>
      <x:c r="U10" s="6" t="str">
        <x:v>0.2</x:v>
      </x:c>
      <x:c r="V10" s="6" t="str">
        <x:v>26.5</x:v>
      </x:c>
      <x:c r="W10" s="6" t="str">
        <x:v>8.013</x:v>
      </x:c>
      <x:c r="X10" s="6" t="str">
        <x:v>0.3</x:v>
      </x:c>
      <x:c r="Y10" s="6" t="str">
        <x:v>0.4</x:v>
      </x:c>
      <x:c r="Z10" s="6" t="str">
        <x:v>45.5</x:v>
      </x:c>
      <x:c r="AA10" s="6" t="str">
        <x:v>9.816</x:v>
      </x:c>
      <x:c r="AB10" s="6" t="str">
        <x:v>0.5</x:v>
      </x:c>
      <x:c r="AC10" s="6" t="str">
        <x:v>0.42</x:v>
      </x:c>
      <x:c r="AD10" s="6" t="str">
        <x:v>9.3</x:v>
      </x:c>
      <x:c r="AE10" s="6" t="str">
        <x:v>3.912</x:v>
      </x:c>
      <x:c r="AF10" s="6" t="str">
        <x:v>0.62</x:v>
      </x:c>
      <x:c r="AG10" s="6" t="str">
        <x:v>0.45</x:v>
      </x:c>
      <x:c r="AH10" s="6" t="str">
        <x:v>0.6</x:v>
      </x:c>
      <x:c r="AI10" s="6" t="str">
        <x:v>0.618</x:v>
      </x:c>
    </x:row>
    <x:row r="11">
      <x:c r="A11" s="6" t="str">
        <x:v>27</x:v>
      </x:c>
      <x:c r="B11" s="6" t="str">
        <x:v>New non-TITE</x:v>
      </x:c>
      <x:c r="C11" s="6" t="str">
        <x:v>One-stage (highest utility)</x:v>
      </x:c>
      <x:c r="D11" s="6" t="str">
        <x:v>one_stage</x:v>
      </x:c>
      <x:c r="E11" s="6" t="str">
        <x:v>New non-TITE | one-stage</x:v>
      </x:c>
      <x:c r="F11" s="6" t="str">
        <x:v>True</x:v>
      </x:c>
      <x:c r="G11" s="6" t="str"/>
      <x:c r="H11" s="6" t="str">
        <x:v>AIDE_phase_I_II_modelsadditive_newdesign_shared_N30_ncycle2_rp0p15x0p85_rate56d_ep0p5x0p5_cp0p15x0p85_eth0p2_fut0p85_ap0p15x0p85_IDX_0001_to_1000_dose_summary.csv</x:v>
      </x:c>
      <x:c r="I11" s="6" t="str">
        <x:v>1000</x:v>
      </x:c>
      <x:c r="J11" s="6" t="str">
        <x:v>3</x:v>
      </x:c>
      <x:c r="K11" s="6" t="str">
        <x:v>3</x:v>
      </x:c>
      <x:c r="L11" s="6" t="str">
        <x:v>5.8</x:v>
      </x:c>
      <x:c r="M11" s="6" t="str">
        <x:v>29.19</x:v>
      </x:c>
      <x:c r="N11" s="6" t="str">
        <x:v>19.395</x:v>
      </x:c>
      <x:c r="O11" s="6" t="str">
        <x:v>1064.7973</x:v>
      </x:c>
      <x:c r="P11" s="6" t="str">
        <x:v>0.11</x:v>
      </x:c>
      <x:c r="Q11" s="6" t="str">
        <x:v>0.1</x:v>
      </x:c>
      <x:c r="R11" s="6" t="str">
        <x:v>16.3</x:v>
      </x:c>
      <x:c r="S11" s="6" t="str">
        <x:v>7.131</x:v>
      </x:c>
      <x:c r="T11" s="6" t="str">
        <x:v>0.17</x:v>
      </x:c>
      <x:c r="U11" s="6" t="str">
        <x:v>0.2</x:v>
      </x:c>
      <x:c r="V11" s="6" t="str">
        <x:v>21.2</x:v>
      </x:c>
      <x:c r="W11" s="6" t="str">
        <x:v>7.875</x:v>
      </x:c>
      <x:c r="X11" s="6" t="str">
        <x:v>0.3</x:v>
      </x:c>
      <x:c r="Y11" s="6" t="str">
        <x:v>0.4</x:v>
      </x:c>
      <x:c r="Z11" s="6" t="str">
        <x:v>44.7</x:v>
      </x:c>
      <x:c r="AA11" s="6" t="str">
        <x:v>9.951</x:v>
      </x:c>
      <x:c r="AB11" s="6" t="str">
        <x:v>0.5</x:v>
      </x:c>
      <x:c r="AC11" s="6" t="str">
        <x:v>0.42</x:v>
      </x:c>
      <x:c r="AD11" s="6" t="str">
        <x:v>11.3</x:v>
      </x:c>
      <x:c r="AE11" s="6" t="str">
        <x:v>3.582</x:v>
      </x:c>
      <x:c r="AF11" s="6" t="str">
        <x:v>0.62</x:v>
      </x:c>
      <x:c r="AG11" s="6" t="str">
        <x:v>0.45</x:v>
      </x:c>
      <x:c r="AH11" s="6" t="str">
        <x:v>0.7</x:v>
      </x:c>
      <x:c r="AI11" s="6" t="str">
        <x:v>0.651</x:v>
      </x:c>
    </x:row>
    <x:row r="12">
      <x:c r="A12" s="6" t="str">
        <x:v>38</x:v>
      </x:c>
      <x:c r="B12" s="6" t="str">
        <x:v>TITE</x:v>
      </x:c>
      <x:c r="C12" s="6" t="str">
        <x:v>One-stage (highest utility)</x:v>
      </x:c>
      <x:c r="D12" s="6" t="str">
        <x:v>one_stage</x:v>
      </x:c>
      <x:c r="E12" s="6" t="str">
        <x:v>TITE | one-stage</x:v>
      </x:c>
      <x:c r="F12" s="6" t="str">
        <x:v>True</x:v>
      </x:c>
      <x:c r="G12" s="6" t="str"/>
      <x:c r="H12" s="6" t="str">
        <x:v>TITE_AIDE_phase_I_II_IDX_1001_to_2000_dose_summary.csv</x:v>
      </x:c>
      <x:c r="I12" s="6" t="str">
        <x:v>1000</x:v>
      </x:c>
      <x:c r="J12" s="6" t="str">
        <x:v>5</x:v>
      </x:c>
      <x:c r="K12" s="6" t="str">
        <x:v>5</x:v>
      </x:c>
      <x:c r="L12" s="6" t="str">
        <x:v>1.2999999999999972</x:v>
      </x:c>
      <x:c r="M12" s="6" t="str">
        <x:v>29.838</x:v>
      </x:c>
      <x:c r="N12" s="6" t="str">
        <x:v>18.614</x:v>
      </x:c>
      <x:c r="O12" s="6" t="str">
        <x:v>1130.58836377537</x:v>
      </x:c>
      <x:c r="P12" s="6" t="str">
        <x:v>0.05</x:v>
      </x:c>
      <x:c r="Q12" s="6" t="str">
        <x:v>0.05</x:v>
      </x:c>
      <x:c r="R12" s="6" t="str">
        <x:v>13.9</x:v>
      </x:c>
      <x:c r="S12" s="6" t="str">
        <x:v>4.638</x:v>
      </x:c>
      <x:c r="T12" s="6" t="str">
        <x:v>0.1</x:v>
      </x:c>
      <x:c r="U12" s="6" t="str">
        <x:v>0.08</x:v>
      </x:c>
      <x:c r="V12" s="6" t="str">
        <x:v>10.3</x:v>
      </x:c>
      <x:c r="W12" s="6" t="str">
        <x:v>4.761</x:v>
      </x:c>
      <x:c r="X12" s="6" t="str">
        <x:v>0.12</x:v>
      </x:c>
      <x:c r="Y12" s="6" t="str">
        <x:v>0.12</x:v>
      </x:c>
      <x:c r="Z12" s="6" t="str">
        <x:v>7.8</x:v>
      </x:c>
      <x:c r="AA12" s="6" t="str">
        <x:v>5.028</x:v>
      </x:c>
      <x:c r="AB12" s="6" t="str">
        <x:v>0.15</x:v>
      </x:c>
      <x:c r="AC12" s="6" t="str">
        <x:v>0.15</x:v>
      </x:c>
      <x:c r="AD12" s="6" t="str">
        <x:v>8.2</x:v>
      </x:c>
      <x:c r="AE12" s="6" t="str">
        <x:v>5.565</x:v>
      </x:c>
      <x:c r="AF12" s="6" t="str">
        <x:v>0.3</x:v>
      </x:c>
      <x:c r="AG12" s="6" t="str">
        <x:v>0.5</x:v>
      </x:c>
      <x:c r="AH12" s="6" t="str">
        <x:v>58.5</x:v>
      </x:c>
      <x:c r="AI12" s="6" t="str">
        <x:v>9.846</x:v>
      </x:c>
    </x:row>
    <x:row r="13">
      <x:c r="A13" s="6" t="str">
        <x:v>38</x:v>
      </x:c>
      <x:c r="B13" s="6" t="str">
        <x:v>New non-TITE</x:v>
      </x:c>
      <x:c r="C13" s="6" t="str">
        <x:v>One-stage (highest utility)</x:v>
      </x:c>
      <x:c r="D13" s="6" t="str">
        <x:v>one_stage</x:v>
      </x:c>
      <x:c r="E13" s="6" t="str">
        <x:v>New non-TITE | one-stage</x:v>
      </x:c>
      <x:c r="F13" s="6" t="str">
        <x:v>True</x:v>
      </x:c>
      <x:c r="G13" s="6" t="str"/>
      <x:c r="H13" s="6" t="str">
        <x:v>AIDE_phase_I_II_modelsadditive_newdesign_shared_N30_ncycle2_rp0p15x0p85_rate56d_ep0p5x0p5_cp0p15x0p85_eth0p2_fut0p85_ap0p15x0p85_IDX_0001_to_1000_dose_summary.csv</x:v>
      </x:c>
      <x:c r="I13" s="6" t="str">
        <x:v>1000</x:v>
      </x:c>
      <x:c r="J13" s="6" t="str">
        <x:v>5</x:v>
      </x:c>
      <x:c r="K13" s="6" t="str">
        <x:v>5</x:v>
      </x:c>
      <x:c r="L13" s="6" t="str">
        <x:v>0.9</x:v>
      </x:c>
      <x:c r="M13" s="6" t="str">
        <x:v>29.856</x:v>
      </x:c>
      <x:c r="N13" s="6" t="str">
        <x:v>18.891</x:v>
      </x:c>
      <x:c r="O13" s="6" t="str">
        <x:v>1040.6256</x:v>
      </x:c>
      <x:c r="P13" s="6" t="str">
        <x:v>0.05</x:v>
      </x:c>
      <x:c r="Q13" s="6" t="str">
        <x:v>0.05</x:v>
      </x:c>
      <x:c r="R13" s="6" t="str">
        <x:v>13.8</x:v>
      </x:c>
      <x:c r="S13" s="6" t="str">
        <x:v>4.557</x:v>
      </x:c>
      <x:c r="T13" s="6" t="str">
        <x:v>0.1</x:v>
      </x:c>
      <x:c r="U13" s="6" t="str">
        <x:v>0.08</x:v>
      </x:c>
      <x:c r="V13" s="6" t="str">
        <x:v>7.2</x:v>
      </x:c>
      <x:c r="W13" s="6" t="str">
        <x:v>4.557</x:v>
      </x:c>
      <x:c r="X13" s="6" t="str">
        <x:v>0.12</x:v>
      </x:c>
      <x:c r="Y13" s="6" t="str">
        <x:v>0.12</x:v>
      </x:c>
      <x:c r="Z13" s="6" t="str">
        <x:v>6.8</x:v>
      </x:c>
      <x:c r="AA13" s="6" t="str">
        <x:v>4.989</x:v>
      </x:c>
      <x:c r="AB13" s="6" t="str">
        <x:v>0.15</x:v>
      </x:c>
      <x:c r="AC13" s="6" t="str">
        <x:v>0.15</x:v>
      </x:c>
      <x:c r="AD13" s="6" t="str">
        <x:v>7.8</x:v>
      </x:c>
      <x:c r="AE13" s="6" t="str">
        <x:v>5.316</x:v>
      </x:c>
      <x:c r="AF13" s="6" t="str">
        <x:v>0.3</x:v>
      </x:c>
      <x:c r="AG13" s="6" t="str">
        <x:v>0.5</x:v>
      </x:c>
      <x:c r="AH13" s="6" t="str">
        <x:v>63.5</x:v>
      </x:c>
      <x:c r="AI13" s="6" t="str">
        <x:v>10.437</x:v>
      </x:c>
    </x:row>
    <x:row r="14">
      <x:c r="A14" s="6" t="str">
        <x:v>1</x:v>
      </x:c>
      <x:c r="B14" s="6" t="str">
        <x:v>TITE</x:v>
      </x:c>
      <x:c r="C14" s="6" t="str">
        <x:v>Two-stage (highest utility)</x:v>
      </x:c>
      <x:c r="D14" s="6" t="str">
        <x:v>two_stage_highest_utility</x:v>
      </x:c>
      <x:c r="E14" s="6" t="str">
        <x:v>TITE | 2-stage highest utility</x:v>
      </x:c>
      <x:c r="F14" s="6" t="str">
        <x:v>True</x:v>
      </x:c>
      <x:c r="G14" s="6" t="str"/>
      <x:c r="H14" s="6" t="str">
        <x:v>TITE_AIDE_phase_I_II_IDX_1001_to_2000_dose_summary.csv</x:v>
      </x:c>
      <x:c r="I14" s="6" t="str">
        <x:v>1000</x:v>
      </x:c>
      <x:c r="J14" s="6" t="str">
        <x:v>1</x:v>
      </x:c>
      <x:c r="K14" s="6" t="str">
        <x:v>1</x:v>
      </x:c>
      <x:c r="L14" s="6" t="str">
        <x:v>71.6</x:v>
      </x:c>
      <x:c r="M14" s="6" t="str">
        <x:v>19.482</x:v>
      </x:c>
      <x:c r="N14" s="6" t="str">
        <x:v>12.359</x:v>
      </x:c>
      <x:c r="O14" s="6" t="str">
        <x:v>710.610670238794</x:v>
      </x:c>
      <x:c r="P14" s="6" t="str">
        <x:v>0.3</x:v>
      </x:c>
      <x:c r="Q14" s="6" t="str">
        <x:v>0.05</x:v>
      </x:c>
      <x:c r="R14" s="6" t="str">
        <x:v>18.6</x:v>
      </x:c>
      <x:c r="S14" s="6" t="str">
        <x:v>11.532</x:v>
      </x:c>
      <x:c r="T14" s="6" t="str">
        <x:v>0.35</x:v>
      </x:c>
      <x:c r="U14" s="6" t="str">
        <x:v>0.06</x:v>
      </x:c>
      <x:c r="V14" s="6" t="str">
        <x:v>8.8</x:v>
      </x:c>
      <x:c r="W14" s="6" t="str">
        <x:v>4.584</x:v>
      </x:c>
      <x:c r="X14" s="6" t="str">
        <x:v>0.4</x:v>
      </x:c>
      <x:c r="Y14" s="6" t="str">
        <x:v>0.07</x:v>
      </x:c>
      <x:c r="Z14" s="6" t="str">
        <x:v>0.9</x:v>
      </x:c>
      <x:c r="AA14" s="6" t="str">
        <x:v>2.172</x:v>
      </x:c>
      <x:c r="AB14" s="6" t="str">
        <x:v>0.45</x:v>
      </x:c>
      <x:c r="AC14" s="6" t="str">
        <x:v>0.08</x:v>
      </x:c>
      <x:c r="AD14" s="6" t="str">
        <x:v>0.1</x:v>
      </x:c>
      <x:c r="AE14" s="6" t="str">
        <x:v>0.915</x:v>
      </x:c>
      <x:c r="AF14" s="6" t="str">
        <x:v>0.5</x:v>
      </x:c>
      <x:c r="AG14" s="6" t="str">
        <x:v>0.09</x:v>
      </x:c>
      <x:c r="AH14" s="6" t="str">
        <x:v>0.0</x:v>
      </x:c>
      <x:c r="AI14" s="6" t="str">
        <x:v>0.279</x:v>
      </x:c>
    </x:row>
    <x:row r="15">
      <x:c r="A15" s="6" t="str">
        <x:v>1</x:v>
      </x:c>
      <x:c r="B15" s="6" t="str">
        <x:v>New non-TITE</x:v>
      </x:c>
      <x:c r="C15" s="6" t="str">
        <x:v>Two-stage (highest utility)</x:v>
      </x:c>
      <x:c r="D15" s="6" t="str">
        <x:v>two_stage_highest_utility</x:v>
      </x:c>
      <x:c r="E15" s="6" t="str">
        <x:v>New non-TITE | 2-stage highest utility</x:v>
      </x:c>
      <x:c r="F15" s="6" t="str">
        <x:v>True</x:v>
      </x:c>
      <x:c r="G15" s="6" t="str"/>
      <x:c r="H15" s="6" t="str">
        <x:v>AIDE_phase_I_II_modelsadditive_newdesign_shared_N30_ncycle2_rp0p15x0p85_rate56d_ep0p5x0p5_cp0p15x0p85_eth0p2_fut0p85_ap0p15x0p85_IDX_0001_to_1000_dose_summary.csv</x:v>
      </x:c>
      <x:c r="I15" s="6" t="str">
        <x:v>1000</x:v>
      </x:c>
      <x:c r="J15" s="6" t="str">
        <x:v>1</x:v>
      </x:c>
      <x:c r="K15" s="6" t="str">
        <x:v>1</x:v>
      </x:c>
      <x:c r="L15" s="6" t="str">
        <x:v>73.4</x:v>
      </x:c>
      <x:c r="M15" s="6" t="str">
        <x:v>19.068</x:v>
      </x:c>
      <x:c r="N15" s="6" t="str">
        <x:v>12.375</x:v>
      </x:c>
      <x:c r="O15" s="6" t="str">
        <x:v>677.6065</x:v>
      </x:c>
      <x:c r="P15" s="6" t="str">
        <x:v>0.3</x:v>
      </x:c>
      <x:c r="Q15" s="6" t="str">
        <x:v>0.05</x:v>
      </x:c>
      <x:c r="R15" s="6" t="str">
        <x:v>18.0</x:v>
      </x:c>
      <x:c r="S15" s="6" t="str">
        <x:v>11.121</x:v>
      </x:c>
      <x:c r="T15" s="6" t="str">
        <x:v>0.35</x:v>
      </x:c>
      <x:c r="U15" s="6" t="str">
        <x:v>0.06</x:v>
      </x:c>
      <x:c r="V15" s="6" t="str">
        <x:v>7.2</x:v>
      </x:c>
      <x:c r="W15" s="6" t="str">
        <x:v>4.359</x:v>
      </x:c>
      <x:c r="X15" s="6" t="str">
        <x:v>0.4</x:v>
      </x:c>
      <x:c r="Y15" s="6" t="str">
        <x:v>0.07</x:v>
      </x:c>
      <x:c r="Z15" s="6" t="str">
        <x:v>1.2</x:v>
      </x:c>
      <x:c r="AA15" s="6" t="str">
        <x:v>2.334</x:v>
      </x:c>
      <x:c r="AB15" s="6" t="str">
        <x:v>0.45</x:v>
      </x:c>
      <x:c r="AC15" s="6" t="str">
        <x:v>0.08</x:v>
      </x:c>
      <x:c r="AD15" s="6" t="str">
        <x:v>0.0</x:v>
      </x:c>
      <x:c r="AE15" s="6" t="str">
        <x:v>0.963</x:v>
      </x:c>
      <x:c r="AF15" s="6" t="str">
        <x:v>0.5</x:v>
      </x:c>
      <x:c r="AG15" s="6" t="str">
        <x:v>0.09</x:v>
      </x:c>
      <x:c r="AH15" s="6" t="str">
        <x:v>0.2</x:v>
      </x:c>
      <x:c r="AI15" s="6" t="str">
        <x:v>0.291</x:v>
      </x:c>
    </x:row>
    <x:row r="16">
      <x:c r="A16" s="6" t="str">
        <x:v>16</x:v>
      </x:c>
      <x:c r="B16" s="6" t="str">
        <x:v>TITE</x:v>
      </x:c>
      <x:c r="C16" s="6" t="str">
        <x:v>Two-stage (highest utility)</x:v>
      </x:c>
      <x:c r="D16" s="6" t="str">
        <x:v>two_stage_highest_utility</x:v>
      </x:c>
      <x:c r="E16" s="6" t="str">
        <x:v>TITE | 2-stage highest utility</x:v>
      </x:c>
      <x:c r="F16" s="6" t="str">
        <x:v>True</x:v>
      </x:c>
      <x:c r="G16" s="6" t="str"/>
      <x:c r="H16" s="6" t="str">
        <x:v>TITE_AIDE_phase_I_II_IDX_1001_to_2000_dose_summary.csv</x:v>
      </x:c>
      <x:c r="I16" s="6" t="str">
        <x:v>1000</x:v>
      </x:c>
      <x:c r="J16" s="6" t="str">
        <x:v>5</x:v>
      </x:c>
      <x:c r="K16" s="6" t="str">
        <x:v>1</x:v>
      </x:c>
      <x:c r="L16" s="6" t="str">
        <x:v>0.10000000000000853</x:v>
      </x:c>
      <x:c r="M16" s="6" t="str">
        <x:v>29.997</x:v>
      </x:c>
      <x:c r="N16" s="6" t="str">
        <x:v>17.912</x:v>
      </x:c>
      <x:c r="O16" s="6" t="str">
        <x:v>1080.03414757293</x:v>
      </x:c>
      <x:c r="P16" s="6" t="str">
        <x:v>0.02</x:v>
      </x:c>
      <x:c r="Q16" s="6" t="str">
        <x:v>0.2</x:v>
      </x:c>
      <x:c r="R16" s="6" t="str">
        <x:v>31.4</x:v>
      </x:c>
      <x:c r="S16" s="6" t="str">
        <x:v>7.347</x:v>
      </x:c>
      <x:c r="T16" s="6" t="str">
        <x:v>0.06</x:v>
      </x:c>
      <x:c r="U16" s="6" t="str">
        <x:v>0.2</x:v>
      </x:c>
      <x:c r="V16" s="6" t="str">
        <x:v>24.3</x:v>
      </x:c>
      <x:c r="W16" s="6" t="str">
        <x:v>6.957</x:v>
      </x:c>
      <x:c r="X16" s="6" t="str">
        <x:v>0.09</x:v>
      </x:c>
      <x:c r="Y16" s="6" t="str">
        <x:v>0.2</x:v>
      </x:c>
      <x:c r="Z16" s="6" t="str">
        <x:v>19.3</x:v>
      </x:c>
      <x:c r="AA16" s="6" t="str">
        <x:v>5.859</x:v>
      </x:c>
      <x:c r="AB16" s="6" t="str">
        <x:v>0.14</x:v>
      </x:c>
      <x:c r="AC16" s="6" t="str">
        <x:v>0.2</x:v>
      </x:c>
      <x:c r="AD16" s="6" t="str">
        <x:v>15.1</x:v>
      </x:c>
      <x:c r="AE16" s="6" t="str">
        <x:v>5.514</x:v>
      </x:c>
      <x:c r="AF16" s="6" t="str">
        <x:v>0.26</x:v>
      </x:c>
      <x:c r="AG16" s="6" t="str">
        <x:v>0.2</x:v>
      </x:c>
      <x:c r="AH16" s="6" t="str">
        <x:v>9.8</x:v>
      </x:c>
      <x:c r="AI16" s="6" t="str">
        <x:v>4.32</x:v>
      </x:c>
    </x:row>
    <x:row r="17">
      <x:c r="A17" s="6" t="str">
        <x:v>16</x:v>
      </x:c>
      <x:c r="B17" s="6" t="str">
        <x:v>New non-TITE</x:v>
      </x:c>
      <x:c r="C17" s="6" t="str">
        <x:v>Two-stage (highest utility)</x:v>
      </x:c>
      <x:c r="D17" s="6" t="str">
        <x:v>two_stage_highest_utility</x:v>
      </x:c>
      <x:c r="E17" s="6" t="str">
        <x:v>New non-TITE | 2-stage highest utility</x:v>
      </x:c>
      <x:c r="F17" s="6" t="str">
        <x:v>True</x:v>
      </x:c>
      <x:c r="G17" s="6" t="str"/>
      <x:c r="H17" s="6" t="str">
        <x:v>AIDE_phase_I_II_modelsadditive_newdesign_shared_N30_ncycle2_rp0p15x0p85_rate56d_ep0p5x0p5_cp0p15x0p85_eth0p2_fut0p85_ap0p15x0p85_IDX_0001_to_1000_dose_summary.csv</x:v>
      </x:c>
      <x:c r="I17" s="6" t="str">
        <x:v>1000</x:v>
      </x:c>
      <x:c r="J17" s="6" t="str">
        <x:v>5</x:v>
      </x:c>
      <x:c r="K17" s="6" t="str">
        <x:v>1</x:v>
      </x:c>
      <x:c r="L17" s="6" t="str">
        <x:v>0.1</x:v>
      </x:c>
      <x:c r="M17" s="6" t="str">
        <x:v>30.0</x:v>
      </x:c>
      <x:c r="N17" s="6" t="str">
        <x:v>18.216</x:v>
      </x:c>
      <x:c r="O17" s="6" t="str">
        <x:v>1000.32</x:v>
      </x:c>
      <x:c r="P17" s="6" t="str">
        <x:v>0.02</x:v>
      </x:c>
      <x:c r="Q17" s="6" t="str">
        <x:v>0.2</x:v>
      </x:c>
      <x:c r="R17" s="6" t="str">
        <x:v>34.1</x:v>
      </x:c>
      <x:c r="S17" s="6" t="str">
        <x:v>7.575</x:v>
      </x:c>
      <x:c r="T17" s="6" t="str">
        <x:v>0.06</x:v>
      </x:c>
      <x:c r="U17" s="6" t="str">
        <x:v>0.2</x:v>
      </x:c>
      <x:c r="V17" s="6" t="str">
        <x:v>21.3</x:v>
      </x:c>
      <x:c r="W17" s="6" t="str">
        <x:v>6.816</x:v>
      </x:c>
      <x:c r="X17" s="6" t="str">
        <x:v>0.09</x:v>
      </x:c>
      <x:c r="Y17" s="6" t="str">
        <x:v>0.2</x:v>
      </x:c>
      <x:c r="Z17" s="6" t="str">
        <x:v>16.6</x:v>
      </x:c>
      <x:c r="AA17" s="6" t="str">
        <x:v>5.691</x:v>
      </x:c>
      <x:c r="AB17" s="6" t="str">
        <x:v>0.14</x:v>
      </x:c>
      <x:c r="AC17" s="6" t="str">
        <x:v>0.2</x:v>
      </x:c>
      <x:c r="AD17" s="6" t="str">
        <x:v>16.4</x:v>
      </x:c>
      <x:c r="AE17" s="6" t="str">
        <x:v>5.49</x:v>
      </x:c>
      <x:c r="AF17" s="6" t="str">
        <x:v>0.26</x:v>
      </x:c>
      <x:c r="AG17" s="6" t="str">
        <x:v>0.2</x:v>
      </x:c>
      <x:c r="AH17" s="6" t="str">
        <x:v>11.5</x:v>
      </x:c>
      <x:c r="AI17" s="6" t="str">
        <x:v>4.428</x:v>
      </x:c>
    </x:row>
    <x:row r="18">
      <x:c r="A18" s="6" t="str">
        <x:v>20</x:v>
      </x:c>
      <x:c r="B18" s="6" t="str">
        <x:v>TITE</x:v>
      </x:c>
      <x:c r="C18" s="6" t="str">
        <x:v>Two-stage (highest utility)</x:v>
      </x:c>
      <x:c r="D18" s="6" t="str">
        <x:v>two_stage_highest_utility</x:v>
      </x:c>
      <x:c r="E18" s="6" t="str">
        <x:v>TITE | 2-stage highest utility</x:v>
      </x:c>
      <x:c r="F18" s="6" t="str">
        <x:v>True</x:v>
      </x:c>
      <x:c r="G18" s="6" t="str"/>
      <x:c r="H18" s="6" t="str">
        <x:v>TITE_AIDE_phase_I_II_IDX_1001_to_2000_dose_summary.csv</x:v>
      </x:c>
      <x:c r="I18" s="6" t="str">
        <x:v>1000</x:v>
      </x:c>
      <x:c r="J18" s="6" t="str">
        <x:v>3</x:v>
      </x:c>
      <x:c r="K18" s="6" t="str">
        <x:v>2</x:v>
      </x:c>
      <x:c r="L18" s="6" t="str">
        <x:v>2.9000000000000057</x:v>
      </x:c>
      <x:c r="M18" s="6" t="str">
        <x:v>29.562</x:v>
      </x:c>
      <x:c r="N18" s="6" t="str">
        <x:v>18.768</x:v>
      </x:c>
      <x:c r="O18" s="6" t="str">
        <x:v>1102.63965162177</x:v>
      </x:c>
      <x:c r="P18" s="6" t="str">
        <x:v>0.07</x:v>
      </x:c>
      <x:c r="Q18" s="6" t="str">
        <x:v>0.05</x:v>
      </x:c>
      <x:c r="R18" s="6" t="str">
        <x:v>11.0</x:v>
      </x:c>
      <x:c r="S18" s="6" t="str">
        <x:v>5.37</x:v>
      </x:c>
      <x:c r="T18" s="6" t="str">
        <x:v>0.14</x:v>
      </x:c>
      <x:c r="U18" s="6" t="str">
        <x:v>0.25</x:v>
      </x:c>
      <x:c r="V18" s="6" t="str">
        <x:v>50.2</x:v>
      </x:c>
      <x:c r="W18" s="6" t="str">
        <x:v>11.082</x:v>
      </x:c>
      <x:c r="X18" s="6" t="str">
        <x:v>0.31</x:v>
      </x:c>
      <x:c r="Y18" s="6" t="str">
        <x:v>0.25</x:v>
      </x:c>
      <x:c r="Z18" s="6" t="str">
        <x:v>25.9</x:v>
      </x:c>
      <x:c r="AA18" s="6" t="str">
        <x:v>7.986</x:v>
      </x:c>
      <x:c r="AB18" s="6" t="str">
        <x:v>0.41</x:v>
      </x:c>
      <x:c r="AC18" s="6" t="str">
        <x:v>0.25</x:v>
      </x:c>
      <x:c r="AD18" s="6" t="str">
        <x:v>8.8</x:v>
      </x:c>
      <x:c r="AE18" s="6" t="str">
        <x:v>3.753</x:v>
      </x:c>
      <x:c r="AF18" s="6" t="str">
        <x:v>0.52</x:v>
      </x:c>
      <x:c r="AG18" s="6" t="str">
        <x:v>0.25</x:v>
      </x:c>
      <x:c r="AH18" s="6" t="str">
        <x:v>1.2</x:v>
      </x:c>
      <x:c r="AI18" s="6" t="str">
        <x:v>1.371</x:v>
      </x:c>
    </x:row>
    <x:row r="19">
      <x:c r="A19" s="6" t="str">
        <x:v>20</x:v>
      </x:c>
      <x:c r="B19" s="6" t="str">
        <x:v>New non-TITE</x:v>
      </x:c>
      <x:c r="C19" s="6" t="str">
        <x:v>Two-stage (highest utility)</x:v>
      </x:c>
      <x:c r="D19" s="6" t="str">
        <x:v>two_stage_highest_utility</x:v>
      </x:c>
      <x:c r="E19" s="6" t="str">
        <x:v>New non-TITE | 2-stage highest utility</x:v>
      </x:c>
      <x:c r="F19" s="6" t="str">
        <x:v>True</x:v>
      </x:c>
      <x:c r="G19" s="6" t="str"/>
      <x:c r="H19" s="6" t="str">
        <x:v>AIDE_phase_I_II_modelsadditive_newdesign_shared_N30_ncycle2_rp0p15x0p85_rate56d_ep0p5x0p5_cp0p15x0p85_eth0p2_fut0p85_ap0p15x0p85_IDX_0001_to_1000_dose_summary.csv</x:v>
      </x:c>
      <x:c r="I19" s="6" t="str">
        <x:v>1000</x:v>
      </x:c>
      <x:c r="J19" s="6" t="str">
        <x:v>3</x:v>
      </x:c>
      <x:c r="K19" s="6" t="str">
        <x:v>2</x:v>
      </x:c>
      <x:c r="L19" s="6" t="str">
        <x:v>3.2</x:v>
      </x:c>
      <x:c r="M19" s="6" t="str">
        <x:v>29.511</x:v>
      </x:c>
      <x:c r="N19" s="6" t="str">
        <x:v>18.855</x:v>
      </x:c>
      <x:c r="O19" s="6" t="str">
        <x:v>1035.6512</x:v>
      </x:c>
      <x:c r="P19" s="6" t="str">
        <x:v>0.07</x:v>
      </x:c>
      <x:c r="Q19" s="6" t="str">
        <x:v>0.05</x:v>
      </x:c>
      <x:c r="R19" s="6" t="str">
        <x:v>14.2</x:v>
      </x:c>
      <x:c r="S19" s="6" t="str">
        <x:v>5.325</x:v>
      </x:c>
      <x:c r="T19" s="6" t="str">
        <x:v>0.14</x:v>
      </x:c>
      <x:c r="U19" s="6" t="str">
        <x:v>0.25</x:v>
      </x:c>
      <x:c r="V19" s="6" t="str">
        <x:v>47.4</x:v>
      </x:c>
      <x:c r="W19" s="6" t="str">
        <x:v>11.226</x:v>
      </x:c>
      <x:c r="X19" s="6" t="str">
        <x:v>0.31</x:v>
      </x:c>
      <x:c r="Y19" s="6" t="str">
        <x:v>0.25</x:v>
      </x:c>
      <x:c r="Z19" s="6" t="str">
        <x:v>25.8</x:v>
      </x:c>
      <x:c r="AA19" s="6" t="str">
        <x:v>7.887</x:v>
      </x:c>
      <x:c r="AB19" s="6" t="str">
        <x:v>0.41</x:v>
      </x:c>
      <x:c r="AC19" s="6" t="str">
        <x:v>0.25</x:v>
      </x:c>
      <x:c r="AD19" s="6" t="str">
        <x:v>7.7</x:v>
      </x:c>
      <x:c r="AE19" s="6" t="str">
        <x:v>3.75</x:v>
      </x:c>
      <x:c r="AF19" s="6" t="str">
        <x:v>0.52</x:v>
      </x:c>
      <x:c r="AG19" s="6" t="str">
        <x:v>0.25</x:v>
      </x:c>
      <x:c r="AH19" s="6" t="str">
        <x:v>1.7</x:v>
      </x:c>
      <x:c r="AI19" s="6" t="str">
        <x:v>1.323</x:v>
      </x:c>
    </x:row>
    <x:row r="20">
      <x:c r="A20" s="6" t="str">
        <x:v>24</x:v>
      </x:c>
      <x:c r="B20" s="6" t="str">
        <x:v>TITE</x:v>
      </x:c>
      <x:c r="C20" s="6" t="str">
        <x:v>Two-stage (highest utility)</x:v>
      </x:c>
      <x:c r="D20" s="6" t="str">
        <x:v>two_stage_highest_utility</x:v>
      </x:c>
      <x:c r="E20" s="6" t="str">
        <x:v>TITE | 2-stage highest utility</x:v>
      </x:c>
      <x:c r="F20" s="6" t="str">
        <x:v>True</x:v>
      </x:c>
      <x:c r="G20" s="6" t="str"/>
      <x:c r="H20" s="6" t="str">
        <x:v>TITE_AIDE_phase_I_II_IDX_1001_to_2000_dose_summary.csv</x:v>
      </x:c>
      <x:c r="I20" s="6" t="str">
        <x:v>1000</x:v>
      </x:c>
      <x:c r="J20" s="6" t="str">
        <x:v>5</x:v>
      </x:c>
      <x:c r="K20" s="6" t="str">
        <x:v>4</x:v>
      </x:c>
      <x:c r="L20" s="6" t="str">
        <x:v>0.0</x:v>
      </x:c>
      <x:c r="M20" s="6" t="str">
        <x:v>30.0</x:v>
      </x:c>
      <x:c r="N20" s="6" t="str">
        <x:v>19.527</x:v>
      </x:c>
      <x:c r="O20" s="6" t="str">
        <x:v>1201.29316809362</x:v>
      </x:c>
      <x:c r="P20" s="6" t="str">
        <x:v>0.01</x:v>
      </x:c>
      <x:c r="Q20" s="6" t="str">
        <x:v>0.05</x:v>
      </x:c>
      <x:c r="R20" s="6" t="str">
        <x:v>1.3</x:v>
      </x:c>
      <x:c r="S20" s="6" t="str">
        <x:v>3.426</x:v>
      </x:c>
      <x:c r="T20" s="6" t="str">
        <x:v>0.02</x:v>
      </x:c>
      <x:c r="U20" s="6" t="str">
        <x:v>0.08</x:v>
      </x:c>
      <x:c r="V20" s="6" t="str">
        <x:v>1.8</x:v>
      </x:c>
      <x:c r="W20" s="6" t="str">
        <x:v>3.48</x:v>
      </x:c>
      <x:c r="X20" s="6" t="str">
        <x:v>0.05</x:v>
      </x:c>
      <x:c r="Y20" s="6" t="str">
        <x:v>0.2</x:v>
      </x:c>
      <x:c r="Z20" s="6" t="str">
        <x:v>4.8</x:v>
      </x:c>
      <x:c r="AA20" s="6" t="str">
        <x:v>4.479</x:v>
      </x:c>
      <x:c r="AB20" s="6" t="str">
        <x:v>0.1</x:v>
      </x:c>
      <x:c r="AC20" s="6" t="str">
        <x:v>0.5</x:v>
      </x:c>
      <x:c r="AD20" s="6" t="str">
        <x:v>56.0</x:v>
      </x:c>
      <x:c r="AE20" s="6" t="str">
        <x:v>10.644</x:v>
      </x:c>
      <x:c r="AF20" s="6" t="str">
        <x:v>0.25</x:v>
      </x:c>
      <x:c r="AG20" s="6" t="str">
        <x:v>0.5</x:v>
      </x:c>
      <x:c r="AH20" s="6" t="str">
        <x:v>36.1</x:v>
      </x:c>
      <x:c r="AI20" s="6" t="str">
        <x:v>7.971</x:v>
      </x:c>
    </x:row>
    <x:row r="21">
      <x:c r="A21" s="6" t="str">
        <x:v>24</x:v>
      </x:c>
      <x:c r="B21" s="6" t="str">
        <x:v>New non-TITE</x:v>
      </x:c>
      <x:c r="C21" s="6" t="str">
        <x:v>Two-stage (highest utility)</x:v>
      </x:c>
      <x:c r="D21" s="6" t="str">
        <x:v>two_stage_highest_utility</x:v>
      </x:c>
      <x:c r="E21" s="6" t="str">
        <x:v>New non-TITE | 2-stage highest utility</x:v>
      </x:c>
      <x:c r="F21" s="6" t="str">
        <x:v>True</x:v>
      </x:c>
      <x:c r="G21" s="6" t="str"/>
      <x:c r="H21" s="6" t="str">
        <x:v>AIDE_phase_I_II_modelsadditive_newdesign_shared_N30_ncycle2_rp0p15x0p85_rate56d_ep0p5x0p5_cp0p15x0p85_eth0p2_fut0p85_ap0p15x0p85_IDX_0001_to_1000_dose_summary.csv</x:v>
      </x:c>
      <x:c r="I21" s="6" t="str">
        <x:v>1000</x:v>
      </x:c>
      <x:c r="J21" s="6" t="str">
        <x:v>5</x:v>
      </x:c>
      <x:c r="K21" s="6" t="str">
        <x:v>4</x:v>
      </x:c>
      <x:c r="L21" s="6" t="str">
        <x:v>0.0</x:v>
      </x:c>
      <x:c r="M21" s="6" t="str">
        <x:v>30.0</x:v>
      </x:c>
      <x:c r="N21" s="6" t="str">
        <x:v>19.631</x:v>
      </x:c>
      <x:c r="O21" s="6" t="str">
        <x:v>1083.2636</x:v>
      </x:c>
      <x:c r="P21" s="6" t="str">
        <x:v>0.01</x:v>
      </x:c>
      <x:c r="Q21" s="6" t="str">
        <x:v>0.05</x:v>
      </x:c>
      <x:c r="R21" s="6" t="str">
        <x:v>2.0</x:v>
      </x:c>
      <x:c r="S21" s="6" t="str">
        <x:v>3.432</x:v>
      </x:c>
      <x:c r="T21" s="6" t="str">
        <x:v>0.02</x:v>
      </x:c>
      <x:c r="U21" s="6" t="str">
        <x:v>0.08</x:v>
      </x:c>
      <x:c r="V21" s="6" t="str">
        <x:v>1.5</x:v>
      </x:c>
      <x:c r="W21" s="6" t="str">
        <x:v>3.486</x:v>
      </x:c>
      <x:c r="X21" s="6" t="str">
        <x:v>0.05</x:v>
      </x:c>
      <x:c r="Y21" s="6" t="str">
        <x:v>0.2</x:v>
      </x:c>
      <x:c r="Z21" s="6" t="str">
        <x:v>6.2</x:v>
      </x:c>
      <x:c r="AA21" s="6" t="str">
        <x:v>4.413</x:v>
      </x:c>
      <x:c r="AB21" s="6" t="str">
        <x:v>0.1</x:v>
      </x:c>
      <x:c r="AC21" s="6" t="str">
        <x:v>0.5</x:v>
      </x:c>
      <x:c r="AD21" s="6" t="str">
        <x:v>55.5</x:v>
      </x:c>
      <x:c r="AE21" s="6" t="str">
        <x:v>10.608</x:v>
      </x:c>
      <x:c r="AF21" s="6" t="str">
        <x:v>0.25</x:v>
      </x:c>
      <x:c r="AG21" s="6" t="str">
        <x:v>0.5</x:v>
      </x:c>
      <x:c r="AH21" s="6" t="str">
        <x:v>34.8</x:v>
      </x:c>
      <x:c r="AI21" s="6" t="str">
        <x:v>8.061</x:v>
      </x:c>
    </x:row>
    <x:row r="22">
      <x:c r="A22" s="6" t="str">
        <x:v>27</x:v>
      </x:c>
      <x:c r="B22" s="6" t="str">
        <x:v>TITE</x:v>
      </x:c>
      <x:c r="C22" s="6" t="str">
        <x:v>Two-stage (highest utility)</x:v>
      </x:c>
      <x:c r="D22" s="6" t="str">
        <x:v>two_stage_highest_utility</x:v>
      </x:c>
      <x:c r="E22" s="6" t="str">
        <x:v>TITE | 2-stage highest utility</x:v>
      </x:c>
      <x:c r="F22" s="6" t="str">
        <x:v>True</x:v>
      </x:c>
      <x:c r="G22" s="6" t="str"/>
      <x:c r="H22" s="6" t="str">
        <x:v>TITE_AIDE_phase_I_II_IDX_1001_to_2000_dose_summary.csv</x:v>
      </x:c>
      <x:c r="I22" s="6" t="str">
        <x:v>1000</x:v>
      </x:c>
      <x:c r="J22" s="6" t="str">
        <x:v>3</x:v>
      </x:c>
      <x:c r="K22" s="6" t="str">
        <x:v>3</x:v>
      </x:c>
      <x:c r="L22" s="6" t="str">
        <x:v>6.1000000000000085</x:v>
      </x:c>
      <x:c r="M22" s="6" t="str">
        <x:v>29.157</x:v>
      </x:c>
      <x:c r="N22" s="6" t="str">
        <x:v>19.149</x:v>
      </x:c>
      <x:c r="O22" s="6" t="str">
        <x:v>1115.47639196044</x:v>
      </x:c>
      <x:c r="P22" s="6" t="str">
        <x:v>0.11</x:v>
      </x:c>
      <x:c r="Q22" s="6" t="str">
        <x:v>0.1</x:v>
      </x:c>
      <x:c r="R22" s="6" t="str">
        <x:v>16.4</x:v>
      </x:c>
      <x:c r="S22" s="6" t="str">
        <x:v>7.704</x:v>
      </x:c>
      <x:c r="T22" s="6" t="str">
        <x:v>0.17</x:v>
      </x:c>
      <x:c r="U22" s="6" t="str">
        <x:v>0.2</x:v>
      </x:c>
      <x:c r="V22" s="6" t="str">
        <x:v>27.8</x:v>
      </x:c>
      <x:c r="W22" s="6" t="str">
        <x:v>8.235</x:v>
      </x:c>
      <x:c r="X22" s="6" t="str">
        <x:v>0.3</x:v>
      </x:c>
      <x:c r="Y22" s="6" t="str">
        <x:v>0.4</x:v>
      </x:c>
      <x:c r="Z22" s="6" t="str">
        <x:v>42.4</x:v>
      </x:c>
      <x:c r="AA22" s="6" t="str">
        <x:v>9.018</x:v>
      </x:c>
      <x:c r="AB22" s="6" t="str">
        <x:v>0.5</x:v>
      </x:c>
      <x:c r="AC22" s="6" t="str">
        <x:v>0.42</x:v>
      </x:c>
      <x:c r="AD22" s="6" t="str">
        <x:v>6.8</x:v>
      </x:c>
      <x:c r="AE22" s="6" t="str">
        <x:v>3.324</x:v>
      </x:c>
      <x:c r="AF22" s="6" t="str">
        <x:v>0.62</x:v>
      </x:c>
      <x:c r="AG22" s="6" t="str">
        <x:v>0.45</x:v>
      </x:c>
      <x:c r="AH22" s="6" t="str">
        <x:v>0.5</x:v>
      </x:c>
      <x:c r="AI22" s="6" t="str">
        <x:v>0.876</x:v>
      </x:c>
    </x:row>
    <x:row r="23">
      <x:c r="A23" s="6" t="str">
        <x:v>27</x:v>
      </x:c>
      <x:c r="B23" s="6" t="str">
        <x:v>New non-TITE</x:v>
      </x:c>
      <x:c r="C23" s="6" t="str">
        <x:v>Two-stage (highest utility)</x:v>
      </x:c>
      <x:c r="D23" s="6" t="str">
        <x:v>two_stage_highest_utility</x:v>
      </x:c>
      <x:c r="E23" s="6" t="str">
        <x:v>New non-TITE | 2-stage highest utility</x:v>
      </x:c>
      <x:c r="F23" s="6" t="str">
        <x:v>True</x:v>
      </x:c>
      <x:c r="G23" s="6" t="str"/>
      <x:c r="H23" s="6" t="str">
        <x:v>AIDE_phase_I_II_modelsadditive_newdesign_shared_N30_ncycle2_rp0p15x0p85_rate56d_ep0p5x0p5_cp0p15x0p85_eth0p2_fut0p85_ap0p15x0p85_IDX_0001_to_1000_dose_summary.csv</x:v>
      </x:c>
      <x:c r="I23" s="6" t="str">
        <x:v>1000</x:v>
      </x:c>
      <x:c r="J23" s="6" t="str">
        <x:v>3</x:v>
      </x:c>
      <x:c r="K23" s="6" t="str">
        <x:v>3</x:v>
      </x:c>
      <x:c r="L23" s="6" t="str">
        <x:v>6.5</x:v>
      </x:c>
      <x:c r="M23" s="6" t="str">
        <x:v>29.151</x:v>
      </x:c>
      <x:c r="N23" s="6" t="str">
        <x:v>19.365</x:v>
      </x:c>
      <x:c r="O23" s="6" t="str">
        <x:v>1065.1846</x:v>
      </x:c>
      <x:c r="P23" s="6" t="str">
        <x:v>0.11</x:v>
      </x:c>
      <x:c r="Q23" s="6" t="str">
        <x:v>0.1</x:v>
      </x:c>
      <x:c r="R23" s="6" t="str">
        <x:v>16.3</x:v>
      </x:c>
      <x:c r="S23" s="6" t="str">
        <x:v>7.695</x:v>
      </x:c>
      <x:c r="T23" s="6" t="str">
        <x:v>0.17</x:v>
      </x:c>
      <x:c r="U23" s="6" t="str">
        <x:v>0.2</x:v>
      </x:c>
      <x:c r="V23" s="6" t="str">
        <x:v>23.9</x:v>
      </x:c>
      <x:c r="W23" s="6" t="str">
        <x:v>7.926</x:v>
      </x:c>
      <x:c r="X23" s="6" t="str">
        <x:v>0.3</x:v>
      </x:c>
      <x:c r="Y23" s="6" t="str">
        <x:v>0.4</x:v>
      </x:c>
      <x:c r="Z23" s="6" t="str">
        <x:v>44.0</x:v>
      </x:c>
      <x:c r="AA23" s="6" t="str">
        <x:v>9.432</x:v>
      </x:c>
      <x:c r="AB23" s="6" t="str">
        <x:v>0.5</x:v>
      </x:c>
      <x:c r="AC23" s="6" t="str">
        <x:v>0.42</x:v>
      </x:c>
      <x:c r="AD23" s="6" t="str">
        <x:v>8.4</x:v>
      </x:c>
      <x:c r="AE23" s="6" t="str">
        <x:v>3.174</x:v>
      </x:c>
      <x:c r="AF23" s="6" t="str">
        <x:v>0.62</x:v>
      </x:c>
      <x:c r="AG23" s="6" t="str">
        <x:v>0.45</x:v>
      </x:c>
      <x:c r="AH23" s="6" t="str">
        <x:v>0.9</x:v>
      </x:c>
      <x:c r="AI23" s="6" t="str">
        <x:v>0.924</x:v>
      </x:c>
    </x:row>
    <x:row r="24">
      <x:c r="A24" s="6" t="str">
        <x:v>38</x:v>
      </x:c>
      <x:c r="B24" s="6" t="str">
        <x:v>TITE</x:v>
      </x:c>
      <x:c r="C24" s="6" t="str">
        <x:v>Two-stage (highest utility)</x:v>
      </x:c>
      <x:c r="D24" s="6" t="str">
        <x:v>two_stage_highest_utility</x:v>
      </x:c>
      <x:c r="E24" s="6" t="str">
        <x:v>TITE | 2-stage highest utility</x:v>
      </x:c>
      <x:c r="F24" s="6" t="str">
        <x:v>True</x:v>
      </x:c>
      <x:c r="G24" s="6" t="str"/>
      <x:c r="H24" s="6" t="str">
        <x:v>TITE_AIDE_phase_I_II_IDX_1001_to_2000_dose_summary.csv</x:v>
      </x:c>
      <x:c r="I24" s="6" t="str">
        <x:v>1000</x:v>
      </x:c>
      <x:c r="J24" s="6" t="str">
        <x:v>5</x:v>
      </x:c>
      <x:c r="K24" s="6" t="str">
        <x:v>5</x:v>
      </x:c>
      <x:c r="L24" s="6" t="str">
        <x:v>1.5</x:v>
      </x:c>
      <x:c r="M24" s="6" t="str">
        <x:v>29.832</x:v>
      </x:c>
      <x:c r="N24" s="6" t="str">
        <x:v>18.467</x:v>
      </x:c>
      <x:c r="O24" s="6" t="str">
        <x:v>1123.73493583718</x:v>
      </x:c>
      <x:c r="P24" s="6" t="str">
        <x:v>0.05</x:v>
      </x:c>
      <x:c r="Q24" s="6" t="str">
        <x:v>0.05</x:v>
      </x:c>
      <x:c r="R24" s="6" t="str">
        <x:v>17.2</x:v>
      </x:c>
      <x:c r="S24" s="6" t="str">
        <x:v>4.923</x:v>
      </x:c>
      <x:c r="T24" s="6" t="str">
        <x:v>0.1</x:v>
      </x:c>
      <x:c r="U24" s="6" t="str">
        <x:v>0.08</x:v>
      </x:c>
      <x:c r="V24" s="6" t="str">
        <x:v>10.0</x:v>
      </x:c>
      <x:c r="W24" s="6" t="str">
        <x:v>5.034</x:v>
      </x:c>
      <x:c r="X24" s="6" t="str">
        <x:v>0.12</x:v>
      </x:c>
      <x:c r="Y24" s="6" t="str">
        <x:v>0.12</x:v>
      </x:c>
      <x:c r="Z24" s="6" t="str">
        <x:v>8.9</x:v>
      </x:c>
      <x:c r="AA24" s="6" t="str">
        <x:v>5.526</x:v>
      </x:c>
      <x:c r="AB24" s="6" t="str">
        <x:v>0.15</x:v>
      </x:c>
      <x:c r="AC24" s="6" t="str">
        <x:v>0.15</x:v>
      </x:c>
      <x:c r="AD24" s="6" t="str">
        <x:v>8.9</x:v>
      </x:c>
      <x:c r="AE24" s="6" t="str">
        <x:v>5.358</x:v>
      </x:c>
      <x:c r="AF24" s="6" t="str">
        <x:v>0.3</x:v>
      </x:c>
      <x:c r="AG24" s="6" t="str">
        <x:v>0.5</x:v>
      </x:c>
      <x:c r="AH24" s="6" t="str">
        <x:v>53.5</x:v>
      </x:c>
      <x:c r="AI24" s="6" t="str">
        <x:v>8.991</x:v>
      </x:c>
    </x:row>
    <x:row r="25">
      <x:c r="A25" s="6" t="str">
        <x:v>38</x:v>
      </x:c>
      <x:c r="B25" s="6" t="str">
        <x:v>New non-TITE</x:v>
      </x:c>
      <x:c r="C25" s="6" t="str">
        <x:v>Two-stage (highest utility)</x:v>
      </x:c>
      <x:c r="D25" s="6" t="str">
        <x:v>two_stage_highest_utility</x:v>
      </x:c>
      <x:c r="E25" s="6" t="str">
        <x:v>New non-TITE | 2-stage highest utility</x:v>
      </x:c>
      <x:c r="F25" s="6" t="str">
        <x:v>True</x:v>
      </x:c>
      <x:c r="G25" s="6" t="str"/>
      <x:c r="H25" s="6" t="str">
        <x:v>AIDE_phase_I_II_modelsadditive_newdesign_shared_N30_ncycle2_rp0p15x0p85_rate56d_ep0p5x0p5_cp0p15x0p85_eth0p2_fut0p85_ap0p15x0p85_IDX_0001_to_1000_dose_summary.csv</x:v>
      </x:c>
      <x:c r="I25" s="6" t="str">
        <x:v>1000</x:v>
      </x:c>
      <x:c r="J25" s="6" t="str">
        <x:v>5</x:v>
      </x:c>
      <x:c r="K25" s="6" t="str">
        <x:v>5</x:v>
      </x:c>
      <x:c r="L25" s="6" t="str">
        <x:v>1.3</x:v>
      </x:c>
      <x:c r="M25" s="6" t="str">
        <x:v>29.844</x:v>
      </x:c>
      <x:c r="N25" s="6" t="str">
        <x:v>18.779</x:v>
      </x:c>
      <x:c r="O25" s="6" t="str">
        <x:v>1034.0562</x:v>
      </x:c>
      <x:c r="P25" s="6" t="str">
        <x:v>0.05</x:v>
      </x:c>
      <x:c r="Q25" s="6" t="str">
        <x:v>0.05</x:v>
      </x:c>
      <x:c r="R25" s="6" t="str">
        <x:v>17.9</x:v>
      </x:c>
      <x:c r="S25" s="6" t="str">
        <x:v>4.839</x:v>
      </x:c>
      <x:c r="T25" s="6" t="str">
        <x:v>0.1</x:v>
      </x:c>
      <x:c r="U25" s="6" t="str">
        <x:v>0.08</x:v>
      </x:c>
      <x:c r="V25" s="6" t="str">
        <x:v>10.0</x:v>
      </x:c>
      <x:c r="W25" s="6" t="str">
        <x:v>4.668</x:v>
      </x:c>
      <x:c r="X25" s="6" t="str">
        <x:v>0.12</x:v>
      </x:c>
      <x:c r="Y25" s="6" t="str">
        <x:v>0.12</x:v>
      </x:c>
      <x:c r="Z25" s="6" t="str">
        <x:v>7.3</x:v>
      </x:c>
      <x:c r="AA25" s="6" t="str">
        <x:v>5.325</x:v>
      </x:c>
      <x:c r="AB25" s="6" t="str">
        <x:v>0.15</x:v>
      </x:c>
      <x:c r="AC25" s="6" t="str">
        <x:v>0.15</x:v>
      </x:c>
      <x:c r="AD25" s="6" t="str">
        <x:v>7.5</x:v>
      </x:c>
      <x:c r="AE25" s="6" t="str">
        <x:v>5.415</x:v>
      </x:c>
      <x:c r="AF25" s="6" t="str">
        <x:v>0.3</x:v>
      </x:c>
      <x:c r="AG25" s="6" t="str">
        <x:v>0.5</x:v>
      </x:c>
      <x:c r="AH25" s="6" t="str">
        <x:v>56.0</x:v>
      </x:c>
      <x:c r="AI25" s="6" t="str">
        <x:v>9.597</x:v>
      </x:c>
    </x:row>
    <x:row r="26">
      <x:c r="A26" s="6" t="str">
        <x:v>1</x:v>
      </x:c>
      <x:c r="B26" s="6" t="str">
        <x:v>TITE</x:v>
      </x:c>
      <x:c r="C26" s="6" t="str">
        <x:v>Two-stage (top-2 randomized)</x:v>
      </x:c>
      <x:c r="D26" s="6" t="str">
        <x:v>two_stage_top2_randomized</x:v>
      </x:c>
      <x:c r="E26" s="6" t="str">
        <x:v>TITE | 2-stage top-2 randomized</x:v>
      </x:c>
      <x:c r="F26" s="6" t="str">
        <x:v>True</x:v>
      </x:c>
      <x:c r="G26" s="6" t="str"/>
      <x:c r="H26" s="6" t="str">
        <x:v>TITE_AIDE_phase_I_II_IDX_1001_to_2000_dose_summary.csv</x:v>
      </x:c>
      <x:c r="I26" s="6" t="str">
        <x:v>1000</x:v>
      </x:c>
      <x:c r="J26" s="6" t="str">
        <x:v>1</x:v>
      </x:c>
      <x:c r="K26" s="6" t="str">
        <x:v>1</x:v>
      </x:c>
      <x:c r="L26" s="6" t="str">
        <x:v>71.6</x:v>
      </x:c>
      <x:c r="M26" s="6" t="str">
        <x:v>19.482</x:v>
      </x:c>
      <x:c r="N26" s="6" t="str">
        <x:v>12.359</x:v>
      </x:c>
      <x:c r="O26" s="6" t="str">
        <x:v>710.610670238794</x:v>
      </x:c>
      <x:c r="P26" s="6" t="str">
        <x:v>0.3</x:v>
      </x:c>
      <x:c r="Q26" s="6" t="str">
        <x:v>0.05</x:v>
      </x:c>
      <x:c r="R26" s="6" t="str">
        <x:v>18.6</x:v>
      </x:c>
      <x:c r="S26" s="6" t="str">
        <x:v>11.532</x:v>
      </x:c>
      <x:c r="T26" s="6" t="str">
        <x:v>0.35</x:v>
      </x:c>
      <x:c r="U26" s="6" t="str">
        <x:v>0.06</x:v>
      </x:c>
      <x:c r="V26" s="6" t="str">
        <x:v>8.8</x:v>
      </x:c>
      <x:c r="W26" s="6" t="str">
        <x:v>4.584</x:v>
      </x:c>
      <x:c r="X26" s="6" t="str">
        <x:v>0.4</x:v>
      </x:c>
      <x:c r="Y26" s="6" t="str">
        <x:v>0.07</x:v>
      </x:c>
      <x:c r="Z26" s="6" t="str">
        <x:v>0.9</x:v>
      </x:c>
      <x:c r="AA26" s="6" t="str">
        <x:v>2.172</x:v>
      </x:c>
      <x:c r="AB26" s="6" t="str">
        <x:v>0.45</x:v>
      </x:c>
      <x:c r="AC26" s="6" t="str">
        <x:v>0.08</x:v>
      </x:c>
      <x:c r="AD26" s="6" t="str">
        <x:v>0.1</x:v>
      </x:c>
      <x:c r="AE26" s="6" t="str">
        <x:v>0.915</x:v>
      </x:c>
      <x:c r="AF26" s="6" t="str">
        <x:v>0.5</x:v>
      </x:c>
      <x:c r="AG26" s="6" t="str">
        <x:v>0.09</x:v>
      </x:c>
      <x:c r="AH26" s="6" t="str">
        <x:v>0.0</x:v>
      </x:c>
      <x:c r="AI26" s="6" t="str">
        <x:v>0.279</x:v>
      </x:c>
    </x:row>
    <x:row r="27">
      <x:c r="A27" s="6" t="str">
        <x:v>1</x:v>
      </x:c>
      <x:c r="B27" s="6" t="str">
        <x:v>New non-TITE</x:v>
      </x:c>
      <x:c r="C27" s="6" t="str">
        <x:v>Two-stage (top-2 randomized)</x:v>
      </x:c>
      <x:c r="D27" s="6" t="str">
        <x:v>two_stage_top2_randomized</x:v>
      </x:c>
      <x:c r="E27" s="6" t="str">
        <x:v>New non-TITE | 2-stage top-2 randomized</x:v>
      </x:c>
      <x:c r="F27" s="6" t="str">
        <x:v>True</x:v>
      </x:c>
      <x:c r="G27" s="6" t="str"/>
      <x:c r="H27" s="6" t="str">
        <x:v>AIDE_phase_I_II_modelsadditive_newdesign_shared_N30_ncycle2_rp0p15x0p85_rate56d_ep0p5x0p5_cp0p15x0p85_eth0p2_fut0p85_ap0p15x0p85_IDX_0001_to_1000_dose_summary.csv</x:v>
      </x:c>
      <x:c r="I27" s="6" t="str">
        <x:v>1000</x:v>
      </x:c>
      <x:c r="J27" s="6" t="str">
        <x:v>1</x:v>
      </x:c>
      <x:c r="K27" s="6" t="str">
        <x:v>1</x:v>
      </x:c>
      <x:c r="L27" s="6" t="str">
        <x:v>72.5</x:v>
      </x:c>
      <x:c r="M27" s="6" t="str">
        <x:v>18.975</x:v>
      </x:c>
      <x:c r="N27" s="6" t="str">
        <x:v>12.358</x:v>
      </x:c>
      <x:c r="O27" s="6" t="str">
        <x:v>677.7874</x:v>
      </x:c>
      <x:c r="P27" s="6" t="str">
        <x:v>0.3</x:v>
      </x:c>
      <x:c r="Q27" s="6" t="str">
        <x:v>0.05</x:v>
      </x:c>
      <x:c r="R27" s="6" t="str">
        <x:v>17.4</x:v>
      </x:c>
      <x:c r="S27" s="6" t="str">
        <x:v>11.014</x:v>
      </x:c>
      <x:c r="T27" s="6" t="str">
        <x:v>0.35</x:v>
      </x:c>
      <x:c r="U27" s="6" t="str">
        <x:v>0.06</x:v>
      </x:c>
      <x:c r="V27" s="6" t="str">
        <x:v>7.2</x:v>
      </x:c>
      <x:c r="W27" s="6" t="str">
        <x:v>4.351</x:v>
      </x:c>
      <x:c r="X27" s="6" t="str">
        <x:v>0.4</x:v>
      </x:c>
      <x:c r="Y27" s="6" t="str">
        <x:v>0.07</x:v>
      </x:c>
      <x:c r="Z27" s="6" t="str">
        <x:v>2.0</x:v>
      </x:c>
      <x:c r="AA27" s="6" t="str">
        <x:v>2.338</x:v>
      </x:c>
      <x:c r="AB27" s="6" t="str">
        <x:v>0.45</x:v>
      </x:c>
      <x:c r="AC27" s="6" t="str">
        <x:v>0.08</x:v>
      </x:c>
      <x:c r="AD27" s="6" t="str">
        <x:v>0.8</x:v>
      </x:c>
      <x:c r="AE27" s="6" t="str">
        <x:v>0.998</x:v>
      </x:c>
      <x:c r="AF27" s="6" t="str">
        <x:v>0.5</x:v>
      </x:c>
      <x:c r="AG27" s="6" t="str">
        <x:v>0.09</x:v>
      </x:c>
      <x:c r="AH27" s="6" t="str">
        <x:v>0.1</x:v>
      </x:c>
      <x:c r="AI27" s="6" t="str">
        <x:v>0.274</x:v>
      </x:c>
    </x:row>
    <x:row r="28">
      <x:c r="A28" s="6" t="str">
        <x:v>16</x:v>
      </x:c>
      <x:c r="B28" s="6" t="str">
        <x:v>TITE</x:v>
      </x:c>
      <x:c r="C28" s="6" t="str">
        <x:v>Two-stage (top-2 randomized)</x:v>
      </x:c>
      <x:c r="D28" s="6" t="str">
        <x:v>two_stage_top2_randomized</x:v>
      </x:c>
      <x:c r="E28" s="6" t="str">
        <x:v>TITE | 2-stage top-2 randomized</x:v>
      </x:c>
      <x:c r="F28" s="6" t="str">
        <x:v>True</x:v>
      </x:c>
      <x:c r="G28" s="6" t="str"/>
      <x:c r="H28" s="6" t="str">
        <x:v>TITE_AIDE_phase_I_II_IDX_1001_to_2000_dose_summary.csv</x:v>
      </x:c>
      <x:c r="I28" s="6" t="str">
        <x:v>1000</x:v>
      </x:c>
      <x:c r="J28" s="6" t="str">
        <x:v>5</x:v>
      </x:c>
      <x:c r="K28" s="6" t="str">
        <x:v>1</x:v>
      </x:c>
      <x:c r="L28" s="6" t="str">
        <x:v>0.10000000000000853</x:v>
      </x:c>
      <x:c r="M28" s="6" t="str">
        <x:v>29.997</x:v>
      </x:c>
      <x:c r="N28" s="6" t="str">
        <x:v>17.912</x:v>
      </x:c>
      <x:c r="O28" s="6" t="str">
        <x:v>1080.03414757293</x:v>
      </x:c>
      <x:c r="P28" s="6" t="str">
        <x:v>0.02</x:v>
      </x:c>
      <x:c r="Q28" s="6" t="str">
        <x:v>0.2</x:v>
      </x:c>
      <x:c r="R28" s="6" t="str">
        <x:v>31.4</x:v>
      </x:c>
      <x:c r="S28" s="6" t="str">
        <x:v>7.347</x:v>
      </x:c>
      <x:c r="T28" s="6" t="str">
        <x:v>0.06</x:v>
      </x:c>
      <x:c r="U28" s="6" t="str">
        <x:v>0.2</x:v>
      </x:c>
      <x:c r="V28" s="6" t="str">
        <x:v>24.3</x:v>
      </x:c>
      <x:c r="W28" s="6" t="str">
        <x:v>6.957</x:v>
      </x:c>
      <x:c r="X28" s="6" t="str">
        <x:v>0.09</x:v>
      </x:c>
      <x:c r="Y28" s="6" t="str">
        <x:v>0.2</x:v>
      </x:c>
      <x:c r="Z28" s="6" t="str">
        <x:v>19.3</x:v>
      </x:c>
      <x:c r="AA28" s="6" t="str">
        <x:v>5.859</x:v>
      </x:c>
      <x:c r="AB28" s="6" t="str">
        <x:v>0.14</x:v>
      </x:c>
      <x:c r="AC28" s="6" t="str">
        <x:v>0.2</x:v>
      </x:c>
      <x:c r="AD28" s="6" t="str">
        <x:v>15.1</x:v>
      </x:c>
      <x:c r="AE28" s="6" t="str">
        <x:v>5.514</x:v>
      </x:c>
      <x:c r="AF28" s="6" t="str">
        <x:v>0.26</x:v>
      </x:c>
      <x:c r="AG28" s="6" t="str">
        <x:v>0.2</x:v>
      </x:c>
      <x:c r="AH28" s="6" t="str">
        <x:v>9.8</x:v>
      </x:c>
      <x:c r="AI28" s="6" t="str">
        <x:v>4.32</x:v>
      </x:c>
    </x:row>
    <x:row r="29">
      <x:c r="A29" s="6" t="str">
        <x:v>16</x:v>
      </x:c>
      <x:c r="B29" s="6" t="str">
        <x:v>New non-TITE</x:v>
      </x:c>
      <x:c r="C29" s="6" t="str">
        <x:v>Two-stage (top-2 randomized)</x:v>
      </x:c>
      <x:c r="D29" s="6" t="str">
        <x:v>two_stage_top2_randomized</x:v>
      </x:c>
      <x:c r="E29" s="6" t="str">
        <x:v>New non-TITE | 2-stage top-2 randomized</x:v>
      </x:c>
      <x:c r="F29" s="6" t="str">
        <x:v>True</x:v>
      </x:c>
      <x:c r="G29" s="6" t="str"/>
      <x:c r="H29" s="6" t="str">
        <x:v>AIDE_phase_I_II_modelsadditive_newdesign_shared_N30_ncycle2_rp0p15x0p85_rate56d_ep0p5x0p5_cp0p15x0p85_eth0p2_fut0p85_ap0p15x0p85_IDX_0001_to_1000_dose_summary.csv</x:v>
      </x:c>
      <x:c r="I29" s="6" t="str">
        <x:v>1000</x:v>
      </x:c>
      <x:c r="J29" s="6" t="str">
        <x:v>5</x:v>
      </x:c>
      <x:c r="K29" s="6" t="str">
        <x:v>1</x:v>
      </x:c>
      <x:c r="L29" s="6" t="str">
        <x:v>0.0</x:v>
      </x:c>
      <x:c r="M29" s="6" t="str">
        <x:v>30.0</x:v>
      </x:c>
      <x:c r="N29" s="6" t="str">
        <x:v>18.298</x:v>
      </x:c>
      <x:c r="O29" s="6" t="str">
        <x:v>1005.8567</x:v>
      </x:c>
      <x:c r="P29" s="6" t="str">
        <x:v>0.02</x:v>
      </x:c>
      <x:c r="Q29" s="6" t="str">
        <x:v>0.2</x:v>
      </x:c>
      <x:c r="R29" s="6" t="str">
        <x:v>33.9</x:v>
      </x:c>
      <x:c r="S29" s="6" t="str">
        <x:v>6.607</x:v>
      </x:c>
      <x:c r="T29" s="6" t="str">
        <x:v>0.06</x:v>
      </x:c>
      <x:c r="U29" s="6" t="str">
        <x:v>0.2</x:v>
      </x:c>
      <x:c r="V29" s="6" t="str">
        <x:v>22.2</x:v>
      </x:c>
      <x:c r="W29" s="6" t="str">
        <x:v>6.091</x:v>
      </x:c>
      <x:c r="X29" s="6" t="str">
        <x:v>0.09</x:v>
      </x:c>
      <x:c r="Y29" s="6" t="str">
        <x:v>0.2</x:v>
      </x:c>
      <x:c r="Z29" s="6" t="str">
        <x:v>16.5</x:v>
      </x:c>
      <x:c r="AA29" s="6" t="str">
        <x:v>5.6</x:v>
      </x:c>
      <x:c r="AB29" s="6" t="str">
        <x:v>0.14</x:v>
      </x:c>
      <x:c r="AC29" s="6" t="str">
        <x:v>0.2</x:v>
      </x:c>
      <x:c r="AD29" s="6" t="str">
        <x:v>15.4</x:v>
      </x:c>
      <x:c r="AE29" s="6" t="str">
        <x:v>6.108</x:v>
      </x:c>
      <x:c r="AF29" s="6" t="str">
        <x:v>0.26</x:v>
      </x:c>
      <x:c r="AG29" s="6" t="str">
        <x:v>0.2</x:v>
      </x:c>
      <x:c r="AH29" s="6" t="str">
        <x:v>12.0</x:v>
      </x:c>
      <x:c r="AI29" s="6" t="str">
        <x:v>5.594</x:v>
      </x:c>
    </x:row>
    <x:row r="30">
      <x:c r="A30" s="6" t="str">
        <x:v>20</x:v>
      </x:c>
      <x:c r="B30" s="6" t="str">
        <x:v>TITE</x:v>
      </x:c>
      <x:c r="C30" s="6" t="str">
        <x:v>Two-stage (top-2 randomized)</x:v>
      </x:c>
      <x:c r="D30" s="6" t="str">
        <x:v>two_stage_top2_randomized</x:v>
      </x:c>
      <x:c r="E30" s="6" t="str">
        <x:v>TITE | 2-stage top-2 randomized</x:v>
      </x:c>
      <x:c r="F30" s="6" t="str">
        <x:v>True</x:v>
      </x:c>
      <x:c r="G30" s="6" t="str"/>
      <x:c r="H30" s="6" t="str">
        <x:v>TITE_AIDE_phase_I_II_IDX_1001_to_2000_dose_summary.csv</x:v>
      </x:c>
      <x:c r="I30" s="6" t="str">
        <x:v>1000</x:v>
      </x:c>
      <x:c r="J30" s="6" t="str">
        <x:v>3</x:v>
      </x:c>
      <x:c r="K30" s="6" t="str">
        <x:v>2</x:v>
      </x:c>
      <x:c r="L30" s="6" t="str">
        <x:v>2.9000000000000057</x:v>
      </x:c>
      <x:c r="M30" s="6" t="str">
        <x:v>29.562</x:v>
      </x:c>
      <x:c r="N30" s="6" t="str">
        <x:v>18.768</x:v>
      </x:c>
      <x:c r="O30" s="6" t="str">
        <x:v>1102.63965162177</x:v>
      </x:c>
      <x:c r="P30" s="6" t="str">
        <x:v>0.07</x:v>
      </x:c>
      <x:c r="Q30" s="6" t="str">
        <x:v>0.05</x:v>
      </x:c>
      <x:c r="R30" s="6" t="str">
        <x:v>11.0</x:v>
      </x:c>
      <x:c r="S30" s="6" t="str">
        <x:v>5.37</x:v>
      </x:c>
      <x:c r="T30" s="6" t="str">
        <x:v>0.14</x:v>
      </x:c>
      <x:c r="U30" s="6" t="str">
        <x:v>0.25</x:v>
      </x:c>
      <x:c r="V30" s="6" t="str">
        <x:v>50.2</x:v>
      </x:c>
      <x:c r="W30" s="6" t="str">
        <x:v>11.082</x:v>
      </x:c>
      <x:c r="X30" s="6" t="str">
        <x:v>0.31</x:v>
      </x:c>
      <x:c r="Y30" s="6" t="str">
        <x:v>0.25</x:v>
      </x:c>
      <x:c r="Z30" s="6" t="str">
        <x:v>25.9</x:v>
      </x:c>
      <x:c r="AA30" s="6" t="str">
        <x:v>7.986</x:v>
      </x:c>
      <x:c r="AB30" s="6" t="str">
        <x:v>0.41</x:v>
      </x:c>
      <x:c r="AC30" s="6" t="str">
        <x:v>0.25</x:v>
      </x:c>
      <x:c r="AD30" s="6" t="str">
        <x:v>8.8</x:v>
      </x:c>
      <x:c r="AE30" s="6" t="str">
        <x:v>3.753</x:v>
      </x:c>
      <x:c r="AF30" s="6" t="str">
        <x:v>0.52</x:v>
      </x:c>
      <x:c r="AG30" s="6" t="str">
        <x:v>0.25</x:v>
      </x:c>
      <x:c r="AH30" s="6" t="str">
        <x:v>1.2</x:v>
      </x:c>
      <x:c r="AI30" s="6" t="str">
        <x:v>1.371</x:v>
      </x:c>
    </x:row>
    <x:row r="31">
      <x:c r="A31" s="6" t="str">
        <x:v>20</x:v>
      </x:c>
      <x:c r="B31" s="6" t="str">
        <x:v>New non-TITE</x:v>
      </x:c>
      <x:c r="C31" s="6" t="str">
        <x:v>Two-stage (top-2 randomized)</x:v>
      </x:c>
      <x:c r="D31" s="6" t="str">
        <x:v>two_stage_top2_randomized</x:v>
      </x:c>
      <x:c r="E31" s="6" t="str">
        <x:v>New non-TITE | 2-stage top-2 randomized</x:v>
      </x:c>
      <x:c r="F31" s="6" t="str">
        <x:v>True</x:v>
      </x:c>
      <x:c r="G31" s="6" t="str"/>
      <x:c r="H31" s="6" t="str">
        <x:v>AIDE_phase_I_II_modelsadditive_newdesign_shared_N30_ncycle2_rp0p15x0p85_rate56d_ep0p5x0p5_cp0p15x0p85_eth0p2_fut0p85_ap0p15x0p85_IDX_0001_to_1000_dose_summary.csv</x:v>
      </x:c>
      <x:c r="I31" s="6" t="str">
        <x:v>1000</x:v>
      </x:c>
      <x:c r="J31" s="6" t="str">
        <x:v>3</x:v>
      </x:c>
      <x:c r="K31" s="6" t="str">
        <x:v>2</x:v>
      </x:c>
      <x:c r="L31" s="6" t="str">
        <x:v>3.0</x:v>
      </x:c>
      <x:c r="M31" s="6" t="str">
        <x:v>29.529</x:v>
      </x:c>
      <x:c r="N31" s="6" t="str">
        <x:v>19.018</x:v>
      </x:c>
      <x:c r="O31" s="6" t="str">
        <x:v>1043.832</x:v>
      </x:c>
      <x:c r="P31" s="6" t="str">
        <x:v>0.07</x:v>
      </x:c>
      <x:c r="Q31" s="6" t="str">
        <x:v>0.05</x:v>
      </x:c>
      <x:c r="R31" s="6" t="str">
        <x:v>10.4</x:v>
      </x:c>
      <x:c r="S31" s="6" t="str">
        <x:v>5.682</x:v>
      </x:c>
      <x:c r="T31" s="6" t="str">
        <x:v>0.14</x:v>
      </x:c>
      <x:c r="U31" s="6" t="str">
        <x:v>0.25</x:v>
      </x:c>
      <x:c r="V31" s="6" t="str">
        <x:v>47.7</x:v>
      </x:c>
      <x:c r="W31" s="6" t="str">
        <x:v>9.475</x:v>
      </x:c>
      <x:c r="X31" s="6" t="str">
        <x:v>0.31</x:v>
      </x:c>
      <x:c r="Y31" s="6" t="str">
        <x:v>0.25</x:v>
      </x:c>
      <x:c r="Z31" s="6" t="str">
        <x:v>25.6</x:v>
      </x:c>
      <x:c r="AA31" s="6" t="str">
        <x:v>7.978</x:v>
      </x:c>
      <x:c r="AB31" s="6" t="str">
        <x:v>0.41</x:v>
      </x:c>
      <x:c r="AC31" s="6" t="str">
        <x:v>0.25</x:v>
      </x:c>
      <x:c r="AD31" s="6" t="str">
        <x:v>10.6</x:v>
      </x:c>
      <x:c r="AE31" s="6" t="str">
        <x:v>4.624</x:v>
      </x:c>
      <x:c r="AF31" s="6" t="str">
        <x:v>0.52</x:v>
      </x:c>
      <x:c r="AG31" s="6" t="str">
        <x:v>0.25</x:v>
      </x:c>
      <x:c r="AH31" s="6" t="str">
        <x:v>2.7</x:v>
      </x:c>
      <x:c r="AI31" s="6" t="str">
        <x:v>1.77</x:v>
      </x:c>
    </x:row>
    <x:row r="32">
      <x:c r="A32" s="6" t="str">
        <x:v>24</x:v>
      </x:c>
      <x:c r="B32" s="6" t="str">
        <x:v>TITE</x:v>
      </x:c>
      <x:c r="C32" s="6" t="str">
        <x:v>Two-stage (top-2 randomized)</x:v>
      </x:c>
      <x:c r="D32" s="6" t="str">
        <x:v>two_stage_top2_randomized</x:v>
      </x:c>
      <x:c r="E32" s="6" t="str">
        <x:v>TITE | 2-stage top-2 randomized</x:v>
      </x:c>
      <x:c r="F32" s="6" t="str">
        <x:v>True</x:v>
      </x:c>
      <x:c r="G32" s="6" t="str"/>
      <x:c r="H32" s="6" t="str">
        <x:v>TITE_AIDE_phase_I_II_IDX_1001_to_2000_dose_summary.csv</x:v>
      </x:c>
      <x:c r="I32" s="6" t="str">
        <x:v>1000</x:v>
      </x:c>
      <x:c r="J32" s="6" t="str">
        <x:v>5</x:v>
      </x:c>
      <x:c r="K32" s="6" t="str">
        <x:v>4</x:v>
      </x:c>
      <x:c r="L32" s="6" t="str">
        <x:v>0.0</x:v>
      </x:c>
      <x:c r="M32" s="6" t="str">
        <x:v>30.0</x:v>
      </x:c>
      <x:c r="N32" s="6" t="str">
        <x:v>19.527</x:v>
      </x:c>
      <x:c r="O32" s="6" t="str">
        <x:v>1201.29316809362</x:v>
      </x:c>
      <x:c r="P32" s="6" t="str">
        <x:v>0.01</x:v>
      </x:c>
      <x:c r="Q32" s="6" t="str">
        <x:v>0.05</x:v>
      </x:c>
      <x:c r="R32" s="6" t="str">
        <x:v>1.3</x:v>
      </x:c>
      <x:c r="S32" s="6" t="str">
        <x:v>3.426</x:v>
      </x:c>
      <x:c r="T32" s="6" t="str">
        <x:v>0.02</x:v>
      </x:c>
      <x:c r="U32" s="6" t="str">
        <x:v>0.08</x:v>
      </x:c>
      <x:c r="V32" s="6" t="str">
        <x:v>1.8</x:v>
      </x:c>
      <x:c r="W32" s="6" t="str">
        <x:v>3.48</x:v>
      </x:c>
      <x:c r="X32" s="6" t="str">
        <x:v>0.05</x:v>
      </x:c>
      <x:c r="Y32" s="6" t="str">
        <x:v>0.2</x:v>
      </x:c>
      <x:c r="Z32" s="6" t="str">
        <x:v>4.8</x:v>
      </x:c>
      <x:c r="AA32" s="6" t="str">
        <x:v>4.479</x:v>
      </x:c>
      <x:c r="AB32" s="6" t="str">
        <x:v>0.1</x:v>
      </x:c>
      <x:c r="AC32" s="6" t="str">
        <x:v>0.5</x:v>
      </x:c>
      <x:c r="AD32" s="6" t="str">
        <x:v>56.0</x:v>
      </x:c>
      <x:c r="AE32" s="6" t="str">
        <x:v>10.644</x:v>
      </x:c>
      <x:c r="AF32" s="6" t="str">
        <x:v>0.25</x:v>
      </x:c>
      <x:c r="AG32" s="6" t="str">
        <x:v>0.5</x:v>
      </x:c>
      <x:c r="AH32" s="6" t="str">
        <x:v>36.1</x:v>
      </x:c>
      <x:c r="AI32" s="6" t="str">
        <x:v>7.971</x:v>
      </x:c>
    </x:row>
    <x:row r="33">
      <x:c r="A33" s="6" t="str">
        <x:v>24</x:v>
      </x:c>
      <x:c r="B33" s="6" t="str">
        <x:v>New non-TITE</x:v>
      </x:c>
      <x:c r="C33" s="6" t="str">
        <x:v>Two-stage (top-2 randomized)</x:v>
      </x:c>
      <x:c r="D33" s="6" t="str">
        <x:v>two_stage_top2_randomized</x:v>
      </x:c>
      <x:c r="E33" s="6" t="str">
        <x:v>New non-TITE | 2-stage top-2 randomized</x:v>
      </x:c>
      <x:c r="F33" s="6" t="str">
        <x:v>True</x:v>
      </x:c>
      <x:c r="G33" s="6" t="str"/>
      <x:c r="H33" s="6" t="str">
        <x:v>AIDE_phase_I_II_modelsadditive_newdesign_shared_N30_ncycle2_rp0p15x0p85_rate56d_ep0p5x0p5_cp0p15x0p85_eth0p2_fut0p85_ap0p15x0p85_IDX_0001_to_1000_dose_summary.csv</x:v>
      </x:c>
      <x:c r="I33" s="6" t="str">
        <x:v>1000</x:v>
      </x:c>
      <x:c r="J33" s="6" t="str">
        <x:v>5</x:v>
      </x:c>
      <x:c r="K33" s="6" t="str">
        <x:v>4</x:v>
      </x:c>
      <x:c r="L33" s="6" t="str">
        <x:v>0.0</x:v>
      </x:c>
      <x:c r="M33" s="6" t="str">
        <x:v>30.0</x:v>
      </x:c>
      <x:c r="N33" s="6" t="str">
        <x:v>19.545</x:v>
      </x:c>
      <x:c r="O33" s="6" t="str">
        <x:v>1076.6065</x:v>
      </x:c>
      <x:c r="P33" s="6" t="str">
        <x:v>0.01</x:v>
      </x:c>
      <x:c r="Q33" s="6" t="str">
        <x:v>0.05</x:v>
      </x:c>
      <x:c r="R33" s="6" t="str">
        <x:v>0.4</x:v>
      </x:c>
      <x:c r="S33" s="6" t="str">
        <x:v>3.578</x:v>
      </x:c>
      <x:c r="T33" s="6" t="str">
        <x:v>0.02</x:v>
      </x:c>
      <x:c r="U33" s="6" t="str">
        <x:v>0.08</x:v>
      </x:c>
      <x:c r="V33" s="6" t="str">
        <x:v>0.8</x:v>
      </x:c>
      <x:c r="W33" s="6" t="str">
        <x:v>3.675</x:v>
      </x:c>
      <x:c r="X33" s="6" t="str">
        <x:v>0.05</x:v>
      </x:c>
      <x:c r="Y33" s="6" t="str">
        <x:v>0.2</x:v>
      </x:c>
      <x:c r="Z33" s="6" t="str">
        <x:v>3.6</x:v>
      </x:c>
      <x:c r="AA33" s="6" t="str">
        <x:v>4.893</x:v>
      </x:c>
      <x:c r="AB33" s="6" t="str">
        <x:v>0.1</x:v>
      </x:c>
      <x:c r="AC33" s="6" t="str">
        <x:v>0.5</x:v>
      </x:c>
      <x:c r="AD33" s="6" t="str">
        <x:v>56.6</x:v>
      </x:c>
      <x:c r="AE33" s="6" t="str">
        <x:v>9.434</x:v>
      </x:c>
      <x:c r="AF33" s="6" t="str">
        <x:v>0.25</x:v>
      </x:c>
      <x:c r="AG33" s="6" t="str">
        <x:v>0.5</x:v>
      </x:c>
      <x:c r="AH33" s="6" t="str">
        <x:v>38.6</x:v>
      </x:c>
      <x:c r="AI33" s="6" t="str">
        <x:v>8.42</x:v>
      </x:c>
    </x:row>
    <x:row r="34">
      <x:c r="A34" s="6" t="str">
        <x:v>27</x:v>
      </x:c>
      <x:c r="B34" s="6" t="str">
        <x:v>TITE</x:v>
      </x:c>
      <x:c r="C34" s="6" t="str">
        <x:v>Two-stage (top-2 randomized)</x:v>
      </x:c>
      <x:c r="D34" s="6" t="str">
        <x:v>two_stage_top2_randomized</x:v>
      </x:c>
      <x:c r="E34" s="6" t="str">
        <x:v>TITE | 2-stage top-2 randomized</x:v>
      </x:c>
      <x:c r="F34" s="6" t="str">
        <x:v>True</x:v>
      </x:c>
      <x:c r="G34" s="6" t="str"/>
      <x:c r="H34" s="6" t="str">
        <x:v>TITE_AIDE_phase_I_II_IDX_1001_to_2000_dose_summary.csv</x:v>
      </x:c>
      <x:c r="I34" s="6" t="str">
        <x:v>1000</x:v>
      </x:c>
      <x:c r="J34" s="6" t="str">
        <x:v>3</x:v>
      </x:c>
      <x:c r="K34" s="6" t="str">
        <x:v>3</x:v>
      </x:c>
      <x:c r="L34" s="6" t="str">
        <x:v>6.1000000000000085</x:v>
      </x:c>
      <x:c r="M34" s="6" t="str">
        <x:v>29.157</x:v>
      </x:c>
      <x:c r="N34" s="6" t="str">
        <x:v>19.149</x:v>
      </x:c>
      <x:c r="O34" s="6" t="str">
        <x:v>1115.47639196044</x:v>
      </x:c>
      <x:c r="P34" s="6" t="str">
        <x:v>0.11</x:v>
      </x:c>
      <x:c r="Q34" s="6" t="str">
        <x:v>0.1</x:v>
      </x:c>
      <x:c r="R34" s="6" t="str">
        <x:v>16.4</x:v>
      </x:c>
      <x:c r="S34" s="6" t="str">
        <x:v>7.704</x:v>
      </x:c>
      <x:c r="T34" s="6" t="str">
        <x:v>0.17</x:v>
      </x:c>
      <x:c r="U34" s="6" t="str">
        <x:v>0.2</x:v>
      </x:c>
      <x:c r="V34" s="6" t="str">
        <x:v>27.8</x:v>
      </x:c>
      <x:c r="W34" s="6" t="str">
        <x:v>8.235</x:v>
      </x:c>
      <x:c r="X34" s="6" t="str">
        <x:v>0.3</x:v>
      </x:c>
      <x:c r="Y34" s="6" t="str">
        <x:v>0.4</x:v>
      </x:c>
      <x:c r="Z34" s="6" t="str">
        <x:v>42.4</x:v>
      </x:c>
      <x:c r="AA34" s="6" t="str">
        <x:v>9.018</x:v>
      </x:c>
      <x:c r="AB34" s="6" t="str">
        <x:v>0.5</x:v>
      </x:c>
      <x:c r="AC34" s="6" t="str">
        <x:v>0.42</x:v>
      </x:c>
      <x:c r="AD34" s="6" t="str">
        <x:v>6.8</x:v>
      </x:c>
      <x:c r="AE34" s="6" t="str">
        <x:v>3.324</x:v>
      </x:c>
      <x:c r="AF34" s="6" t="str">
        <x:v>0.62</x:v>
      </x:c>
      <x:c r="AG34" s="6" t="str">
        <x:v>0.45</x:v>
      </x:c>
      <x:c r="AH34" s="6" t="str">
        <x:v>0.5</x:v>
      </x:c>
      <x:c r="AI34" s="6" t="str">
        <x:v>0.876</x:v>
      </x:c>
    </x:row>
    <x:row r="35">
      <x:c r="A35" s="6" t="str">
        <x:v>27</x:v>
      </x:c>
      <x:c r="B35" s="6" t="str">
        <x:v>New non-TITE</x:v>
      </x:c>
      <x:c r="C35" s="6" t="str">
        <x:v>Two-stage (top-2 randomized)</x:v>
      </x:c>
      <x:c r="D35" s="6" t="str">
        <x:v>two_stage_top2_randomized</x:v>
      </x:c>
      <x:c r="E35" s="6" t="str">
        <x:v>New non-TITE | 2-stage top-2 randomized</x:v>
      </x:c>
      <x:c r="F35" s="6" t="str">
        <x:v>True</x:v>
      </x:c>
      <x:c r="G35" s="6" t="str"/>
      <x:c r="H35" s="6" t="str">
        <x:v>AIDE_phase_I_II_modelsadditive_newdesign_shared_N30_ncycle2_rp0p15x0p85_rate56d_ep0p5x0p5_cp0p15x0p85_eth0p2_fut0p85_ap0p15x0p85_IDX_0001_to_1000_dose_summary.csv</x:v>
      </x:c>
      <x:c r="I35" s="6" t="str">
        <x:v>1000</x:v>
      </x:c>
      <x:c r="J35" s="6" t="str">
        <x:v>3</x:v>
      </x:c>
      <x:c r="K35" s="6" t="str">
        <x:v>3</x:v>
      </x:c>
      <x:c r="L35" s="6" t="str">
        <x:v>5.7</x:v>
      </x:c>
      <x:c r="M35" s="6" t="str">
        <x:v>29.184</x:v>
      </x:c>
      <x:c r="N35" s="6" t="str">
        <x:v>19.451</x:v>
      </x:c>
      <x:c r="O35" s="6" t="str">
        <x:v>1070.9197</x:v>
      </x:c>
      <x:c r="P35" s="6" t="str">
        <x:v>0.11</x:v>
      </x:c>
      <x:c r="Q35" s="6" t="str">
        <x:v>0.1</x:v>
      </x:c>
      <x:c r="R35" s="6" t="str">
        <x:v>10.5</x:v>
      </x:c>
      <x:c r="S35" s="6" t="str">
        <x:v>7.443</x:v>
      </x:c>
      <x:c r="T35" s="6" t="str">
        <x:v>0.17</x:v>
      </x:c>
      <x:c r="U35" s="6" t="str">
        <x:v>0.2</x:v>
      </x:c>
      <x:c r="V35" s="6" t="str">
        <x:v>23.6</x:v>
      </x:c>
      <x:c r="W35" s="6" t="str">
        <x:v>8.201</x:v>
      </x:c>
      <x:c r="X35" s="6" t="str">
        <x:v>0.3</x:v>
      </x:c>
      <x:c r="Y35" s="6" t="str">
        <x:v>0.4</x:v>
      </x:c>
      <x:c r="Z35" s="6" t="str">
        <x:v>46.6</x:v>
      </x:c>
      <x:c r="AA35" s="6" t="str">
        <x:v>8.446</x:v>
      </x:c>
      <x:c r="AB35" s="6" t="str">
        <x:v>0.5</x:v>
      </x:c>
      <x:c r="AC35" s="6" t="str">
        <x:v>0.42</x:v>
      </x:c>
      <x:c r="AD35" s="6" t="str">
        <x:v>12.5</x:v>
      </x:c>
      <x:c r="AE35" s="6" t="str">
        <x:v>4.016</x:v>
      </x:c>
      <x:c r="AF35" s="6" t="str">
        <x:v>0.62</x:v>
      </x:c>
      <x:c r="AG35" s="6" t="str">
        <x:v>0.45</x:v>
      </x:c>
      <x:c r="AH35" s="6" t="str">
        <x:v>1.1</x:v>
      </x:c>
      <x:c r="AI35" s="6" t="str">
        <x:v>1.078</x:v>
      </x:c>
    </x:row>
    <x:row r="36">
      <x:c r="A36" s="6" t="str">
        <x:v>38</x:v>
      </x:c>
      <x:c r="B36" s="6" t="str">
        <x:v>TITE</x:v>
      </x:c>
      <x:c r="C36" s="6" t="str">
        <x:v>Two-stage (top-2 randomized)</x:v>
      </x:c>
      <x:c r="D36" s="6" t="str">
        <x:v>two_stage_top2_randomized</x:v>
      </x:c>
      <x:c r="E36" s="6" t="str">
        <x:v>TITE | 2-stage top-2 randomized</x:v>
      </x:c>
      <x:c r="F36" s="6" t="str">
        <x:v>True</x:v>
      </x:c>
      <x:c r="G36" s="6" t="str"/>
      <x:c r="H36" s="6" t="str">
        <x:v>TITE_AIDE_phase_I_II_IDX_1001_to_2000_dose_summary.csv</x:v>
      </x:c>
      <x:c r="I36" s="6" t="str">
        <x:v>1000</x:v>
      </x:c>
      <x:c r="J36" s="6" t="str">
        <x:v>5</x:v>
      </x:c>
      <x:c r="K36" s="6" t="str">
        <x:v>5</x:v>
      </x:c>
      <x:c r="L36" s="6" t="str">
        <x:v>1.5</x:v>
      </x:c>
      <x:c r="M36" s="6" t="str">
        <x:v>29.832</x:v>
      </x:c>
      <x:c r="N36" s="6" t="str">
        <x:v>18.467</x:v>
      </x:c>
      <x:c r="O36" s="6" t="str">
        <x:v>1123.73493583718</x:v>
      </x:c>
      <x:c r="P36" s="6" t="str">
        <x:v>0.05</x:v>
      </x:c>
      <x:c r="Q36" s="6" t="str">
        <x:v>0.05</x:v>
      </x:c>
      <x:c r="R36" s="6" t="str">
        <x:v>17.2</x:v>
      </x:c>
      <x:c r="S36" s="6" t="str">
        <x:v>4.923</x:v>
      </x:c>
      <x:c r="T36" s="6" t="str">
        <x:v>0.1</x:v>
      </x:c>
      <x:c r="U36" s="6" t="str">
        <x:v>0.08</x:v>
      </x:c>
      <x:c r="V36" s="6" t="str">
        <x:v>10.0</x:v>
      </x:c>
      <x:c r="W36" s="6" t="str">
        <x:v>5.034</x:v>
      </x:c>
      <x:c r="X36" s="6" t="str">
        <x:v>0.12</x:v>
      </x:c>
      <x:c r="Y36" s="6" t="str">
        <x:v>0.12</x:v>
      </x:c>
      <x:c r="Z36" s="6" t="str">
        <x:v>8.9</x:v>
      </x:c>
      <x:c r="AA36" s="6" t="str">
        <x:v>5.526</x:v>
      </x:c>
      <x:c r="AB36" s="6" t="str">
        <x:v>0.15</x:v>
      </x:c>
      <x:c r="AC36" s="6" t="str">
        <x:v>0.15</x:v>
      </x:c>
      <x:c r="AD36" s="6" t="str">
        <x:v>8.9</x:v>
      </x:c>
      <x:c r="AE36" s="6" t="str">
        <x:v>5.358</x:v>
      </x:c>
      <x:c r="AF36" s="6" t="str">
        <x:v>0.3</x:v>
      </x:c>
      <x:c r="AG36" s="6" t="str">
        <x:v>0.5</x:v>
      </x:c>
      <x:c r="AH36" s="6" t="str">
        <x:v>53.5</x:v>
      </x:c>
      <x:c r="AI36" s="6" t="str">
        <x:v>8.991</x:v>
      </x:c>
    </x:row>
    <x:row r="37">
      <x:c r="A37" s="6" t="str">
        <x:v>38</x:v>
      </x:c>
      <x:c r="B37" s="6" t="str">
        <x:v>New non-TITE</x:v>
      </x:c>
      <x:c r="C37" s="6" t="str">
        <x:v>Two-stage (top-2 randomized)</x:v>
      </x:c>
      <x:c r="D37" s="6" t="str">
        <x:v>two_stage_top2_randomized</x:v>
      </x:c>
      <x:c r="E37" s="6" t="str">
        <x:v>New non-TITE | 2-stage top-2 randomized</x:v>
      </x:c>
      <x:c r="F37" s="6" t="str">
        <x:v>True</x:v>
      </x:c>
      <x:c r="G37" s="6" t="str"/>
      <x:c r="H37" s="6" t="str">
        <x:v>AIDE_phase_I_II_modelsadditive_newdesign_shared_N30_ncycle2_rp0p15x0p85_rate56d_ep0p5x0p5_cp0p15x0p85_eth0p2_fut0p85_ap0p15x0p85_IDX_0001_to_1000_dose_summary.csv</x:v>
      </x:c>
      <x:c r="I37" s="6" t="str">
        <x:v>1000</x:v>
      </x:c>
      <x:c r="J37" s="6" t="str">
        <x:v>5</x:v>
      </x:c>
      <x:c r="K37" s="6" t="str">
        <x:v>5</x:v>
      </x:c>
      <x:c r="L37" s="6" t="str">
        <x:v>1.0</x:v>
      </x:c>
      <x:c r="M37" s="6" t="str">
        <x:v>29.844</x:v>
      </x:c>
      <x:c r="N37" s="6" t="str">
        <x:v>18.53</x:v>
      </x:c>
      <x:c r="O37" s="6" t="str">
        <x:v>1021.7263</x:v>
      </x:c>
      <x:c r="P37" s="6" t="str">
        <x:v>0.05</x:v>
      </x:c>
      <x:c r="Q37" s="6" t="str">
        <x:v>0.05</x:v>
      </x:c>
      <x:c r="R37" s="6" t="str">
        <x:v>11.7</x:v>
      </x:c>
      <x:c r="S37" s="6" t="str">
        <x:v>4.711</x:v>
      </x:c>
      <x:c r="T37" s="6" t="str">
        <x:v>0.1</x:v>
      </x:c>
      <x:c r="U37" s="6" t="str">
        <x:v>0.08</x:v>
      </x:c>
      <x:c r="V37" s="6" t="str">
        <x:v>6.0</x:v>
      </x:c>
      <x:c r="W37" s="6" t="str">
        <x:v>4.795</x:v>
      </x:c>
      <x:c r="X37" s="6" t="str">
        <x:v>0.12</x:v>
      </x:c>
      <x:c r="Y37" s="6" t="str">
        <x:v>0.12</x:v>
      </x:c>
      <x:c r="Z37" s="6" t="str">
        <x:v>5.5</x:v>
      </x:c>
      <x:c r="AA37" s="6" t="str">
        <x:v>5.288</x:v>
      </x:c>
      <x:c r="AB37" s="6" t="str">
        <x:v>0.15</x:v>
      </x:c>
      <x:c r="AC37" s="6" t="str">
        <x:v>0.15</x:v>
      </x:c>
      <x:c r="AD37" s="6" t="str">
        <x:v>8.5</x:v>
      </x:c>
      <x:c r="AE37" s="6" t="str">
        <x:v>6.886</x:v>
      </x:c>
      <x:c r="AF37" s="6" t="str">
        <x:v>0.3</x:v>
      </x:c>
      <x:c r="AG37" s="6" t="str">
        <x:v>0.5</x:v>
      </x:c>
      <x:c r="AH37" s="6" t="str">
        <x:v>67.3</x:v>
      </x:c>
      <x:c r="AI37" s="6" t="str">
        <x:v>8.164</x:v>
      </x:c>
    </x:row>
  </x:sheetData>
  <x:pageMargins left="0.7" right="0.7" top="0.75" bottom="0.75" header="0.3" footer="0.3"/>
  <x:tableParts count="1">
    <x:tablePart xmlns:r="http://schemas.openxmlformats.org/officeDocument/2006/relationships" r:id="R0bf3f9515027419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</x:cols>
  <x:sheetData>
    <x:row r="1" ht="30" customHeight="1">
      <x:c r="A1" s="24" t="str">
        <x:v>Phase I/II Operating Characteristics</x:v>
      </x:c>
      <x:c r="B1" s="24"/>
      <x:c r="C1" s="24"/>
      <x:c r="D1" s="24"/>
      <x:c r="E1" s="24"/>
      <x:c r="F1" s="24"/>
      <x:c r="G1" s="24"/>
    </x:row>
    <x:row r="2">
      <x:c r="A2" s="32" t="str">
        <x:v>TITE vs new non-TITE | one-stage, two-stage highest utility, and two-stage top-2 randomized</x:v>
      </x:c>
      <x:c r="B2" s="32"/>
      <x:c r="C2" s="32"/>
      <x:c r="D2" s="32"/>
      <x:c r="E2" s="32"/>
      <x:c r="F2" s="32"/>
      <x:c r="G2" s="32"/>
    </x:row>
    <x:row r="4" ht="22" customHeight="1">
      <x:c r="A4" s="40" t="str">
        <x:v>Comparison scope: matched N = 30 configurations with 1,000 simulations per populated row; three allocation designs are shown for both versions.</x:v>
      </x:c>
      <x:c r="B4" s="40"/>
      <x:c r="C4" s="40"/>
      <x:c r="D4" s="40"/>
      <x:c r="E4" s="40"/>
      <x:c r="F4" s="40"/>
      <x:c r="G4" s="40"/>
    </x:row>
    <x:row r="5" ht="22" customHeight="1">
      <x:c r="A5" s="40" t="str">
        <x:v>Sources: Presentation 8-17 TITE IDX 1001-2000 and new non-TITE IDX 0001-1000; all three designs and all six scenarios are available.</x:v>
      </x:c>
      <x:c r="B5" s="40"/>
      <x:c r="C5" s="40"/>
      <x:c r="D5" s="40"/>
      <x:c r="E5" s="40"/>
      <x:c r="F5" s="40"/>
      <x:c r="G5" s="40"/>
    </x:row>
    <x:row r="7" ht="22" customHeight="1">
      <x:c r="A7" s="50" t="str">
        <x:v>Metric</x:v>
      </x:c>
      <x:c r="B7" s="50" t="str">
        <x:v>Dose 1</x:v>
      </x:c>
      <x:c r="C7" s="50" t="str">
        <x:v>Dose 2</x:v>
      </x:c>
      <x:c r="D7" s="50" t="str">
        <x:v>Dose 3</x:v>
      </x:c>
      <x:c r="E7" s="50" t="str">
        <x:v>Dose 4</x:v>
      </x:c>
      <x:c r="F7" s="50" t="str">
        <x:v>Dose 5</x:v>
      </x:c>
      <x:c r="G7" s="50" t="str">
        <x:v>No OBD %</x:v>
      </x:c>
    </x:row>
    <x:row r="8" ht="20" customHeight="1">
      <x:c r="A8" s="58" t="str">
        <x:v>Scenario 1</x:v>
      </x:c>
      <x:c r="B8" s="58"/>
      <x:c r="C8" s="58"/>
      <x:c r="D8" s="58"/>
      <x:c r="E8" s="58"/>
      <x:c r="F8" s="58"/>
      <x:c r="G8" s="58"/>
    </x:row>
    <x:row r="9" ht="18" customHeight="1">
      <x:c r="A9" s="6" t="str">
        <x:v>DLT rate</x:v>
      </x:c>
      <x:c r="B9" s="62" t="str">
        <x:f>'Source Data'!$P$27</x:f>
        <x:v>0.3</x:v>
      </x:c>
      <x:c r="C9" s="62" t="str">
        <x:f>'Source Data'!$T$27</x:f>
        <x:v>0.35</x:v>
      </x:c>
      <x:c r="D9" s="62" t="str">
        <x:f>'Source Data'!$X$27</x:f>
        <x:v>0.4</x:v>
      </x:c>
      <x:c r="E9" s="62" t="str">
        <x:f>'Source Data'!$AB$27</x:f>
        <x:v>0.45</x:v>
      </x:c>
      <x:c r="F9" s="62" t="str">
        <x:f>'Source Data'!$AF$27</x:f>
        <x:v>0.5</x:v>
      </x:c>
      <x:c r="G9" s="60"/>
    </x:row>
    <x:row r="10" ht="18" customHeight="1">
      <x:c r="A10" s="6" t="str">
        <x:v>Efficacy rate</x:v>
      </x:c>
      <x:c r="B10" s="62" t="str">
        <x:f>'Source Data'!$Q$27</x:f>
        <x:v>0.05</x:v>
      </x:c>
      <x:c r="C10" s="62" t="str">
        <x:f>'Source Data'!$U$27</x:f>
        <x:v>0.06</x:v>
      </x:c>
      <x:c r="D10" s="62" t="str">
        <x:f>'Source Data'!$Y$27</x:f>
        <x:v>0.07</x:v>
      </x:c>
      <x:c r="E10" s="62" t="str">
        <x:f>'Source Data'!$AC$27</x:f>
        <x:v>0.08</x:v>
      </x:c>
      <x:c r="F10" s="62" t="str">
        <x:f>'Source Data'!$AG$27</x:f>
        <x:v>0.09</x:v>
      </x:c>
      <x:c r="G10" s="60"/>
    </x:row>
    <x:row r="11" ht="18" customHeight="1">
      <x:c r="A11" s="70" t="str">
        <x:v>OBD selection (%)</x:v>
      </x:c>
      <x:c r="B11" s="72"/>
      <x:c r="C11" s="72"/>
      <x:c r="D11" s="72"/>
      <x:c r="E11" s="72"/>
      <x:c r="F11" s="72"/>
      <x:c r="G11" s="72"/>
    </x:row>
    <x:row r="12" ht="18" customHeight="1">
      <x:c r="A12" s="80" t="str">
        <x:v>TITE | one-stage</x:v>
      </x:c>
      <x:c r="B12" s="84" t="str">
        <x:f>'Source Data'!$R$2</x:f>
        <x:v>18.2</x:v>
      </x:c>
      <x:c r="C12" s="84" t="str">
        <x:f>'Source Data'!$V$2</x:f>
        <x:v>9.1</x:v>
      </x:c>
      <x:c r="D12" s="84" t="str">
        <x:f>'Source Data'!$Z$2</x:f>
        <x:v>1.8</x:v>
      </x:c>
      <x:c r="E12" s="84" t="str">
        <x:f>'Source Data'!$AD$2</x:f>
        <x:v>0.4</x:v>
      </x:c>
      <x:c r="F12" s="84" t="str">
        <x:f>'Source Data'!$AH$2</x:f>
        <x:v>0.0</x:v>
      </x:c>
      <x:c r="G12" s="84" t="str">
        <x:f>'Source Data'!$L$2</x:f>
        <x:v>70.5</x:v>
      </x:c>
    </x:row>
    <x:row r="13" ht="18" customHeight="1">
      <x:c r="A13" s="92" t="str">
        <x:v>New non-TITE | one-stage</x:v>
      </x:c>
      <x:c r="B13" s="96" t="str">
        <x:f>'Source Data'!$R$3</x:f>
        <x:v>17.4</x:v>
      </x:c>
      <x:c r="C13" s="96" t="str">
        <x:f>'Source Data'!$V$3</x:f>
        <x:v>6.4</x:v>
      </x:c>
      <x:c r="D13" s="96" t="str">
        <x:f>'Source Data'!$Z$3</x:f>
        <x:v>1.8</x:v>
      </x:c>
      <x:c r="E13" s="96" t="str">
        <x:f>'Source Data'!$AD$3</x:f>
        <x:v>0.1</x:v>
      </x:c>
      <x:c r="F13" s="96" t="str">
        <x:f>'Source Data'!$AH$3</x:f>
        <x:v>0.2</x:v>
      </x:c>
      <x:c r="G13" s="96" t="str">
        <x:f>'Source Data'!$L$3</x:f>
        <x:v>74.1</x:v>
      </x:c>
    </x:row>
    <x:row r="14" ht="18" customHeight="1">
      <x:c r="A14" s="80" t="str">
        <x:v>TITE | 2-stage highest utility</x:v>
      </x:c>
      <x:c r="B14" s="84" t="str">
        <x:f>'Source Data'!$R$14</x:f>
        <x:v>18.6</x:v>
      </x:c>
      <x:c r="C14" s="84" t="str">
        <x:f>'Source Data'!$V$14</x:f>
        <x:v>8.8</x:v>
      </x:c>
      <x:c r="D14" s="84" t="str">
        <x:f>'Source Data'!$Z$14</x:f>
        <x:v>0.9</x:v>
      </x:c>
      <x:c r="E14" s="84" t="str">
        <x:f>'Source Data'!$AD$14</x:f>
        <x:v>0.1</x:v>
      </x:c>
      <x:c r="F14" s="84" t="str">
        <x:f>'Source Data'!$AH$14</x:f>
        <x:v>0.0</x:v>
      </x:c>
      <x:c r="G14" s="84" t="str">
        <x:f>'Source Data'!$L$14</x:f>
        <x:v>71.6</x:v>
      </x:c>
    </x:row>
    <x:row r="15" ht="18" customHeight="1">
      <x:c r="A15" s="92" t="str">
        <x:v>New non-TITE | 2-stage highest utility</x:v>
      </x:c>
      <x:c r="B15" s="96" t="str">
        <x:f>'Source Data'!$R$15</x:f>
        <x:v>18.0</x:v>
      </x:c>
      <x:c r="C15" s="96" t="str">
        <x:f>'Source Data'!$V$15</x:f>
        <x:v>7.2</x:v>
      </x:c>
      <x:c r="D15" s="96" t="str">
        <x:f>'Source Data'!$Z$15</x:f>
        <x:v>1.2</x:v>
      </x:c>
      <x:c r="E15" s="96" t="str">
        <x:f>'Source Data'!$AD$15</x:f>
        <x:v>0.0</x:v>
      </x:c>
      <x:c r="F15" s="96" t="str">
        <x:f>'Source Data'!$AH$15</x:f>
        <x:v>0.2</x:v>
      </x:c>
      <x:c r="G15" s="96" t="str">
        <x:f>'Source Data'!$L$15</x:f>
        <x:v>73.4</x:v>
      </x:c>
    </x:row>
    <x:row r="16" ht="18" customHeight="1">
      <x:c r="A16" s="80" t="str">
        <x:v>TITE | 2-stage top-2 randomized</x:v>
      </x:c>
      <x:c r="B16" s="84" t="str">
        <x:f>'Source Data'!$R$26</x:f>
        <x:v>18.6</x:v>
      </x:c>
      <x:c r="C16" s="84" t="str">
        <x:f>'Source Data'!$V$26</x:f>
        <x:v>8.8</x:v>
      </x:c>
      <x:c r="D16" s="84" t="str">
        <x:f>'Source Data'!$Z$26</x:f>
        <x:v>0.9</x:v>
      </x:c>
      <x:c r="E16" s="84" t="str">
        <x:f>'Source Data'!$AD$26</x:f>
        <x:v>0.1</x:v>
      </x:c>
      <x:c r="F16" s="84" t="str">
        <x:f>'Source Data'!$AH$26</x:f>
        <x:v>0.0</x:v>
      </x:c>
      <x:c r="G16" s="84" t="str">
        <x:f>'Source Data'!$L$26</x:f>
        <x:v>71.6</x:v>
      </x:c>
    </x:row>
    <x:row r="17" ht="18" customHeight="1">
      <x:c r="A17" s="92" t="str">
        <x:v>New non-TITE | 2-stage top-2 randomized</x:v>
      </x:c>
      <x:c r="B17" s="96" t="str">
        <x:f>'Source Data'!$R$27</x:f>
        <x:v>17.4</x:v>
      </x:c>
      <x:c r="C17" s="96" t="str">
        <x:f>'Source Data'!$V$27</x:f>
        <x:v>7.2</x:v>
      </x:c>
      <x:c r="D17" s="96" t="str">
        <x:f>'Source Data'!$Z$27</x:f>
        <x:v>2.0</x:v>
      </x:c>
      <x:c r="E17" s="96" t="str">
        <x:f>'Source Data'!$AD$27</x:f>
        <x:v>0.8</x:v>
      </x:c>
      <x:c r="F17" s="96" t="str">
        <x:f>'Source Data'!$AH$27</x:f>
        <x:v>0.1</x:v>
      </x:c>
      <x:c r="G17" s="96" t="str">
        <x:f>'Source Data'!$L$27</x:f>
        <x:v>72.5</x:v>
      </x:c>
    </x:row>
    <x:row r="18" ht="18" customHeight="1">
      <x:c r="A18" s="70" t="str">
        <x:v>Mean administrations by dose</x:v>
      </x:c>
      <x:c r="B18" s="72"/>
      <x:c r="C18" s="72"/>
      <x:c r="D18" s="72"/>
      <x:c r="E18" s="72"/>
      <x:c r="F18" s="72"/>
      <x:c r="G18" s="72"/>
    </x:row>
    <x:row r="19" ht="18" customHeight="1">
      <x:c r="A19" s="80" t="str">
        <x:v>TITE | one-stage</x:v>
      </x:c>
      <x:c r="B19" s="84" t="str">
        <x:f>'Source Data'!$S$2</x:f>
        <x:v>11.52</x:v>
      </x:c>
      <x:c r="C19" s="84" t="str">
        <x:f>'Source Data'!$W$2</x:f>
        <x:v>4.68</x:v>
      </x:c>
      <x:c r="D19" s="84" t="str">
        <x:f>'Source Data'!$AA$2</x:f>
        <x:v>2.112</x:v>
      </x:c>
      <x:c r="E19" s="84" t="str">
        <x:f>'Source Data'!$AE$2</x:f>
        <x:v>0.909</x:v>
      </x:c>
      <x:c r="F19" s="84" t="str">
        <x:f>'Source Data'!$AI$2</x:f>
        <x:v>0.285</x:v>
      </x:c>
      <x:c r="G19" s="82"/>
    </x:row>
    <x:row r="20" ht="18" customHeight="1">
      <x:c r="A20" s="92" t="str">
        <x:v>New non-TITE | one-stage</x:v>
      </x:c>
      <x:c r="B20" s="96" t="str">
        <x:f>'Source Data'!$S$3</x:f>
        <x:v>11.076</x:v>
      </x:c>
      <x:c r="C20" s="96" t="str">
        <x:f>'Source Data'!$W$3</x:f>
        <x:v>4.476</x:v>
      </x:c>
      <x:c r="D20" s="96" t="str">
        <x:f>'Source Data'!$AA$3</x:f>
        <x:v>2.25</x:v>
      </x:c>
      <x:c r="E20" s="96" t="str">
        <x:f>'Source Data'!$AE$3</x:f>
        <x:v>0.912</x:v>
      </x:c>
      <x:c r="F20" s="96" t="str">
        <x:f>'Source Data'!$AI$3</x:f>
        <x:v>0.303</x:v>
      </x:c>
      <x:c r="G20" s="94"/>
    </x:row>
    <x:row r="21" ht="18" customHeight="1">
      <x:c r="A21" s="80" t="str">
        <x:v>TITE | 2-stage highest utility</x:v>
      </x:c>
      <x:c r="B21" s="84" t="str">
        <x:f>'Source Data'!$S$14</x:f>
        <x:v>11.532</x:v>
      </x:c>
      <x:c r="C21" s="84" t="str">
        <x:f>'Source Data'!$W$14</x:f>
        <x:v>4.584</x:v>
      </x:c>
      <x:c r="D21" s="84" t="str">
        <x:f>'Source Data'!$AA$14</x:f>
        <x:v>2.172</x:v>
      </x:c>
      <x:c r="E21" s="84" t="str">
        <x:f>'Source Data'!$AE$14</x:f>
        <x:v>0.915</x:v>
      </x:c>
      <x:c r="F21" s="84" t="str">
        <x:f>'Source Data'!$AI$14</x:f>
        <x:v>0.279</x:v>
      </x:c>
      <x:c r="G21" s="82"/>
    </x:row>
    <x:row r="22" ht="18" customHeight="1">
      <x:c r="A22" s="92" t="str">
        <x:v>New non-TITE | 2-stage highest utility</x:v>
      </x:c>
      <x:c r="B22" s="96" t="str">
        <x:f>'Source Data'!$S$15</x:f>
        <x:v>11.121</x:v>
      </x:c>
      <x:c r="C22" s="96" t="str">
        <x:f>'Source Data'!$W$15</x:f>
        <x:v>4.359</x:v>
      </x:c>
      <x:c r="D22" s="96" t="str">
        <x:f>'Source Data'!$AA$15</x:f>
        <x:v>2.334</x:v>
      </x:c>
      <x:c r="E22" s="96" t="str">
        <x:f>'Source Data'!$AE$15</x:f>
        <x:v>0.963</x:v>
      </x:c>
      <x:c r="F22" s="96" t="str">
        <x:f>'Source Data'!$AI$15</x:f>
        <x:v>0.291</x:v>
      </x:c>
      <x:c r="G22" s="94"/>
    </x:row>
    <x:row r="23" ht="18" customHeight="1">
      <x:c r="A23" s="80" t="str">
        <x:v>TITE | 2-stage top-2 randomized</x:v>
      </x:c>
      <x:c r="B23" s="84" t="str">
        <x:f>'Source Data'!$S$26</x:f>
        <x:v>11.532</x:v>
      </x:c>
      <x:c r="C23" s="84" t="str">
        <x:f>'Source Data'!$W$26</x:f>
        <x:v>4.584</x:v>
      </x:c>
      <x:c r="D23" s="84" t="str">
        <x:f>'Source Data'!$AA$26</x:f>
        <x:v>2.172</x:v>
      </x:c>
      <x:c r="E23" s="84" t="str">
        <x:f>'Source Data'!$AE$26</x:f>
        <x:v>0.915</x:v>
      </x:c>
      <x:c r="F23" s="84" t="str">
        <x:f>'Source Data'!$AI$26</x:f>
        <x:v>0.279</x:v>
      </x:c>
      <x:c r="G23" s="82"/>
    </x:row>
    <x:row r="24" ht="18" customHeight="1">
      <x:c r="A24" s="92" t="str">
        <x:v>New non-TITE | 2-stage top-2 randomized</x:v>
      </x:c>
      <x:c r="B24" s="96" t="str">
        <x:f>'Source Data'!$S$27</x:f>
        <x:v>11.014</x:v>
      </x:c>
      <x:c r="C24" s="96" t="str">
        <x:f>'Source Data'!$W$27</x:f>
        <x:v>4.351</x:v>
      </x:c>
      <x:c r="D24" s="96" t="str">
        <x:f>'Source Data'!$AA$27</x:f>
        <x:v>2.338</x:v>
      </x:c>
      <x:c r="E24" s="96" t="str">
        <x:f>'Source Data'!$AE$27</x:f>
        <x:v>0.998</x:v>
      </x:c>
      <x:c r="F24" s="96" t="str">
        <x:f>'Source Data'!$AI$27</x:f>
        <x:v>0.274</x:v>
      </x:c>
      <x:c r="G24" s="94"/>
    </x:row>
    <x:row r="25" ht="18" customHeight="1">
      <x:c r="A25" s="70" t="str">
        <x:v>Run-level means</x:v>
      </x:c>
      <x:c r="B25" s="72" t="str">
        <x:v>Total admin.</x:v>
      </x:c>
      <x:c r="C25" s="72" t="str">
        <x:v>Unique patients</x:v>
      </x:c>
      <x:c r="D25" s="72" t="str">
        <x:v>Duration days</x:v>
      </x:c>
      <x:c r="E25" s="72"/>
      <x:c r="F25" s="72"/>
      <x:c r="G25" s="72"/>
    </x:row>
    <x:row r="26" ht="18" customHeight="1">
      <x:c r="A26" s="80" t="str">
        <x:v>TITE | one-stage</x:v>
      </x:c>
      <x:c r="B26" s="84" t="str">
        <x:f>'Source Data'!$M$2</x:f>
        <x:v>19.506</x:v>
      </x:c>
      <x:c r="C26" s="84" t="str">
        <x:f>'Source Data'!$N$2</x:f>
        <x:v>12.38</x:v>
      </x:c>
      <x:c r="D26" s="84" t="str">
        <x:f>'Source Data'!$O$2</x:f>
        <x:v>712.933895481201</x:v>
      </x:c>
      <x:c r="E26" s="82"/>
      <x:c r="F26" s="82"/>
      <x:c r="G26" s="82"/>
    </x:row>
    <x:row r="27" ht="18" customHeight="1">
      <x:c r="A27" s="92" t="str">
        <x:v>New non-TITE | one-stage</x:v>
      </x:c>
      <x:c r="B27" s="96" t="str">
        <x:f>'Source Data'!$M$3</x:f>
        <x:v>19.017</x:v>
      </x:c>
      <x:c r="C27" s="96" t="str">
        <x:f>'Source Data'!$N$3</x:f>
        <x:v>12.338</x:v>
      </x:c>
      <x:c r="D27" s="96" t="str">
        <x:f>'Source Data'!$O$3</x:f>
        <x:v>675.292</x:v>
      </x:c>
      <x:c r="E27" s="94"/>
      <x:c r="F27" s="94"/>
      <x:c r="G27" s="94"/>
    </x:row>
    <x:row r="28" ht="18" customHeight="1">
      <x:c r="A28" s="80" t="str">
        <x:v>TITE | 2-stage highest utility</x:v>
      </x:c>
      <x:c r="B28" s="84" t="str">
        <x:f>'Source Data'!$M$14</x:f>
        <x:v>19.482</x:v>
      </x:c>
      <x:c r="C28" s="84" t="str">
        <x:f>'Source Data'!$N$14</x:f>
        <x:v>12.359</x:v>
      </x:c>
      <x:c r="D28" s="84" t="str">
        <x:f>'Source Data'!$O$14</x:f>
        <x:v>710.610670238794</x:v>
      </x:c>
      <x:c r="E28" s="82"/>
      <x:c r="F28" s="82"/>
      <x:c r="G28" s="82"/>
    </x:row>
    <x:row r="29" ht="18" customHeight="1">
      <x:c r="A29" s="92" t="str">
        <x:v>New non-TITE | 2-stage highest utility</x:v>
      </x:c>
      <x:c r="B29" s="96" t="str">
        <x:f>'Source Data'!$M$15</x:f>
        <x:v>19.068</x:v>
      </x:c>
      <x:c r="C29" s="96" t="str">
        <x:f>'Source Data'!$N$15</x:f>
        <x:v>12.375</x:v>
      </x:c>
      <x:c r="D29" s="96" t="str">
        <x:f>'Source Data'!$O$15</x:f>
        <x:v>677.6065</x:v>
      </x:c>
      <x:c r="E29" s="94"/>
      <x:c r="F29" s="94"/>
      <x:c r="G29" s="94"/>
    </x:row>
    <x:row r="30" ht="18" customHeight="1">
      <x:c r="A30" s="80" t="str">
        <x:v>TITE | 2-stage top-2 randomized</x:v>
      </x:c>
      <x:c r="B30" s="84" t="str">
        <x:f>'Source Data'!$M$26</x:f>
        <x:v>19.482</x:v>
      </x:c>
      <x:c r="C30" s="84" t="str">
        <x:f>'Source Data'!$N$26</x:f>
        <x:v>12.359</x:v>
      </x:c>
      <x:c r="D30" s="84" t="str">
        <x:f>'Source Data'!$O$26</x:f>
        <x:v>710.610670238794</x:v>
      </x:c>
      <x:c r="E30" s="82"/>
      <x:c r="F30" s="82"/>
      <x:c r="G30" s="82"/>
    </x:row>
    <x:row r="31" ht="18" customHeight="1">
      <x:c r="A31" s="92" t="str">
        <x:v>New non-TITE | 2-stage top-2 randomized</x:v>
      </x:c>
      <x:c r="B31" s="96" t="str">
        <x:f>'Source Data'!$M$27</x:f>
        <x:v>18.975</x:v>
      </x:c>
      <x:c r="C31" s="96" t="str">
        <x:f>'Source Data'!$N$27</x:f>
        <x:v>12.358</x:v>
      </x:c>
      <x:c r="D31" s="96" t="str">
        <x:f>'Source Data'!$O$27</x:f>
        <x:v>677.7874</x:v>
      </x:c>
      <x:c r="E31" s="94"/>
      <x:c r="F31" s="94"/>
      <x:c r="G31" s="94"/>
    </x:row>
    <x:row r="34" ht="20" customHeight="1">
      <x:c r="A34" s="58" t="str">
        <x:v>Scenario 16</x:v>
      </x:c>
      <x:c r="B34" s="58"/>
      <x:c r="C34" s="58"/>
      <x:c r="D34" s="58"/>
      <x:c r="E34" s="58"/>
      <x:c r="F34" s="58"/>
      <x:c r="G34" s="58"/>
    </x:row>
    <x:row r="35" ht="18" customHeight="1">
      <x:c r="A35" s="6" t="str">
        <x:v>DLT rate</x:v>
      </x:c>
      <x:c r="B35" s="62" t="str">
        <x:f>'Source Data'!$P$29</x:f>
        <x:v>0.02</x:v>
      </x:c>
      <x:c r="C35" s="62" t="str">
        <x:f>'Source Data'!$T$29</x:f>
        <x:v>0.06</x:v>
      </x:c>
      <x:c r="D35" s="62" t="str">
        <x:f>'Source Data'!$X$29</x:f>
        <x:v>0.09</x:v>
      </x:c>
      <x:c r="E35" s="62" t="str">
        <x:f>'Source Data'!$AB$29</x:f>
        <x:v>0.14</x:v>
      </x:c>
      <x:c r="F35" s="62" t="str">
        <x:f>'Source Data'!$AF$29</x:f>
        <x:v>0.26</x:v>
      </x:c>
      <x:c r="G35" s="60"/>
    </x:row>
    <x:row r="36" ht="18" customHeight="1">
      <x:c r="A36" s="6" t="str">
        <x:v>Efficacy rate</x:v>
      </x:c>
      <x:c r="B36" s="62" t="str">
        <x:f>'Source Data'!$Q$29</x:f>
        <x:v>0.2</x:v>
      </x:c>
      <x:c r="C36" s="62" t="str">
        <x:f>'Source Data'!$U$29</x:f>
        <x:v>0.2</x:v>
      </x:c>
      <x:c r="D36" s="62" t="str">
        <x:f>'Source Data'!$Y$29</x:f>
        <x:v>0.2</x:v>
      </x:c>
      <x:c r="E36" s="62" t="str">
        <x:f>'Source Data'!$AC$29</x:f>
        <x:v>0.2</x:v>
      </x:c>
      <x:c r="F36" s="62" t="str">
        <x:f>'Source Data'!$AG$29</x:f>
        <x:v>0.2</x:v>
      </x:c>
      <x:c r="G36" s="60"/>
    </x:row>
    <x:row r="37" ht="18" customHeight="1">
      <x:c r="A37" s="70" t="str">
        <x:v>OBD selection (%)</x:v>
      </x:c>
      <x:c r="B37" s="72"/>
      <x:c r="C37" s="72"/>
      <x:c r="D37" s="72"/>
      <x:c r="E37" s="72"/>
      <x:c r="F37" s="72"/>
      <x:c r="G37" s="72"/>
    </x:row>
    <x:row r="38" ht="18" customHeight="1">
      <x:c r="A38" s="80" t="str">
        <x:v>TITE | one-stage</x:v>
      </x:c>
      <x:c r="B38" s="84" t="str">
        <x:f>'Source Data'!$R$4</x:f>
        <x:v>29.2</x:v>
      </x:c>
      <x:c r="C38" s="84" t="str">
        <x:f>'Source Data'!$V$4</x:f>
        <x:v>22.6</x:v>
      </x:c>
      <x:c r="D38" s="84" t="str">
        <x:f>'Source Data'!$Z$4</x:f>
        <x:v>19.8</x:v>
      </x:c>
      <x:c r="E38" s="84" t="str">
        <x:f>'Source Data'!$AD$4</x:f>
        <x:v>15.5</x:v>
      </x:c>
      <x:c r="F38" s="84" t="str">
        <x:f>'Source Data'!$AH$4</x:f>
        <x:v>12.8</x:v>
      </x:c>
      <x:c r="G38" s="84" t="str">
        <x:f>'Source Data'!$L$4</x:f>
        <x:v>0.10000000000000853</x:v>
      </x:c>
    </x:row>
    <x:row r="39" ht="18" customHeight="1">
      <x:c r="A39" s="92" t="str">
        <x:v>New non-TITE | one-stage</x:v>
      </x:c>
      <x:c r="B39" s="96" t="str">
        <x:f>'Source Data'!$R$5</x:f>
        <x:v>28.7</x:v>
      </x:c>
      <x:c r="C39" s="96" t="str">
        <x:f>'Source Data'!$V$5</x:f>
        <x:v>21.3</x:v>
      </x:c>
      <x:c r="D39" s="96" t="str">
        <x:f>'Source Data'!$Z$5</x:f>
        <x:v>20.9</x:v>
      </x:c>
      <x:c r="E39" s="96" t="str">
        <x:f>'Source Data'!$AD$5</x:f>
        <x:v>18.1</x:v>
      </x:c>
      <x:c r="F39" s="96" t="str">
        <x:f>'Source Data'!$AH$5</x:f>
        <x:v>11.0</x:v>
      </x:c>
      <x:c r="G39" s="96" t="str">
        <x:f>'Source Data'!$L$5</x:f>
        <x:v>0.0</x:v>
      </x:c>
    </x:row>
    <x:row r="40" ht="18" customHeight="1">
      <x:c r="A40" s="80" t="str">
        <x:v>TITE | 2-stage highest utility</x:v>
      </x:c>
      <x:c r="B40" s="84" t="str">
        <x:f>'Source Data'!$R$16</x:f>
        <x:v>31.4</x:v>
      </x:c>
      <x:c r="C40" s="84" t="str">
        <x:f>'Source Data'!$V$16</x:f>
        <x:v>24.3</x:v>
      </x:c>
      <x:c r="D40" s="84" t="str">
        <x:f>'Source Data'!$Z$16</x:f>
        <x:v>19.3</x:v>
      </x:c>
      <x:c r="E40" s="84" t="str">
        <x:f>'Source Data'!$AD$16</x:f>
        <x:v>15.1</x:v>
      </x:c>
      <x:c r="F40" s="84" t="str">
        <x:f>'Source Data'!$AH$16</x:f>
        <x:v>9.8</x:v>
      </x:c>
      <x:c r="G40" s="84" t="str">
        <x:f>'Source Data'!$L$16</x:f>
        <x:v>0.10000000000000853</x:v>
      </x:c>
    </x:row>
    <x:row r="41" ht="18" customHeight="1">
      <x:c r="A41" s="92" t="str">
        <x:v>New non-TITE | 2-stage highest utility</x:v>
      </x:c>
      <x:c r="B41" s="96" t="str">
        <x:f>'Source Data'!$R$17</x:f>
        <x:v>34.1</x:v>
      </x:c>
      <x:c r="C41" s="96" t="str">
        <x:f>'Source Data'!$V$17</x:f>
        <x:v>21.3</x:v>
      </x:c>
      <x:c r="D41" s="96" t="str">
        <x:f>'Source Data'!$Z$17</x:f>
        <x:v>16.6</x:v>
      </x:c>
      <x:c r="E41" s="96" t="str">
        <x:f>'Source Data'!$AD$17</x:f>
        <x:v>16.4</x:v>
      </x:c>
      <x:c r="F41" s="96" t="str">
        <x:f>'Source Data'!$AH$17</x:f>
        <x:v>11.5</x:v>
      </x:c>
      <x:c r="G41" s="96" t="str">
        <x:f>'Source Data'!$L$17</x:f>
        <x:v>0.1</x:v>
      </x:c>
    </x:row>
    <x:row r="42" ht="18" customHeight="1">
      <x:c r="A42" s="80" t="str">
        <x:v>TITE | 2-stage top-2 randomized</x:v>
      </x:c>
      <x:c r="B42" s="84" t="str">
        <x:f>'Source Data'!$R$28</x:f>
        <x:v>31.4</x:v>
      </x:c>
      <x:c r="C42" s="84" t="str">
        <x:f>'Source Data'!$V$28</x:f>
        <x:v>24.3</x:v>
      </x:c>
      <x:c r="D42" s="84" t="str">
        <x:f>'Source Data'!$Z$28</x:f>
        <x:v>19.3</x:v>
      </x:c>
      <x:c r="E42" s="84" t="str">
        <x:f>'Source Data'!$AD$28</x:f>
        <x:v>15.1</x:v>
      </x:c>
      <x:c r="F42" s="84" t="str">
        <x:f>'Source Data'!$AH$28</x:f>
        <x:v>9.8</x:v>
      </x:c>
      <x:c r="G42" s="84" t="str">
        <x:f>'Source Data'!$L$28</x:f>
        <x:v>0.10000000000000853</x:v>
      </x:c>
    </x:row>
    <x:row r="43" ht="18" customHeight="1">
      <x:c r="A43" s="92" t="str">
        <x:v>New non-TITE | 2-stage top-2 randomized</x:v>
      </x:c>
      <x:c r="B43" s="96" t="str">
        <x:f>'Source Data'!$R$29</x:f>
        <x:v>33.9</x:v>
      </x:c>
      <x:c r="C43" s="96" t="str">
        <x:f>'Source Data'!$V$29</x:f>
        <x:v>22.2</x:v>
      </x:c>
      <x:c r="D43" s="96" t="str">
        <x:f>'Source Data'!$Z$29</x:f>
        <x:v>16.5</x:v>
      </x:c>
      <x:c r="E43" s="96" t="str">
        <x:f>'Source Data'!$AD$29</x:f>
        <x:v>15.4</x:v>
      </x:c>
      <x:c r="F43" s="96" t="str">
        <x:f>'Source Data'!$AH$29</x:f>
        <x:v>12.0</x:v>
      </x:c>
      <x:c r="G43" s="96" t="str">
        <x:f>'Source Data'!$L$29</x:f>
        <x:v>0.0</x:v>
      </x:c>
    </x:row>
    <x:row r="44" ht="18" customHeight="1">
      <x:c r="A44" s="70" t="str">
        <x:v>Mean administrations by dose</x:v>
      </x:c>
      <x:c r="B44" s="72"/>
      <x:c r="C44" s="72"/>
      <x:c r="D44" s="72"/>
      <x:c r="E44" s="72"/>
      <x:c r="F44" s="72"/>
      <x:c r="G44" s="72"/>
    </x:row>
    <x:row r="45" ht="18" customHeight="1">
      <x:c r="A45" s="80" t="str">
        <x:v>TITE | one-stage</x:v>
      </x:c>
      <x:c r="B45" s="84" t="str">
        <x:f>'Source Data'!$S$4</x:f>
        <x:v>7.059</x:v>
      </x:c>
      <x:c r="C45" s="84" t="str">
        <x:f>'Source Data'!$W$4</x:f>
        <x:v>6.789</x:v>
      </x:c>
      <x:c r="D45" s="84" t="str">
        <x:f>'Source Data'!$AA$4</x:f>
        <x:v>5.88</x:v>
      </x:c>
      <x:c r="E45" s="84" t="str">
        <x:f>'Source Data'!$AE$4</x:f>
        <x:v>5.685</x:v>
      </x:c>
      <x:c r="F45" s="84" t="str">
        <x:f>'Source Data'!$AI$4</x:f>
        <x:v>4.584</x:v>
      </x:c>
      <x:c r="G45" s="82"/>
    </x:row>
    <x:row r="46" ht="18" customHeight="1">
      <x:c r="A46" s="92" t="str">
        <x:v>New non-TITE | one-stage</x:v>
      </x:c>
      <x:c r="B46" s="96" t="str">
        <x:f>'Source Data'!$S$5</x:f>
        <x:v>7.278</x:v>
      </x:c>
      <x:c r="C46" s="96" t="str">
        <x:f>'Source Data'!$W$5</x:f>
        <x:v>6.618</x:v>
      </x:c>
      <x:c r="D46" s="96" t="str">
        <x:f>'Source Data'!$AA$5</x:f>
        <x:v>5.745</x:v>
      </x:c>
      <x:c r="E46" s="96" t="str">
        <x:f>'Source Data'!$AE$5</x:f>
        <x:v>5.709</x:v>
      </x:c>
      <x:c r="F46" s="96" t="str">
        <x:f>'Source Data'!$AI$5</x:f>
        <x:v>4.65</x:v>
      </x:c>
      <x:c r="G46" s="94"/>
    </x:row>
    <x:row r="47" ht="18" customHeight="1">
      <x:c r="A47" s="80" t="str">
        <x:v>TITE | 2-stage highest utility</x:v>
      </x:c>
      <x:c r="B47" s="84" t="str">
        <x:f>'Source Data'!$S$16</x:f>
        <x:v>7.347</x:v>
      </x:c>
      <x:c r="C47" s="84" t="str">
        <x:f>'Source Data'!$W$16</x:f>
        <x:v>6.957</x:v>
      </x:c>
      <x:c r="D47" s="84" t="str">
        <x:f>'Source Data'!$AA$16</x:f>
        <x:v>5.859</x:v>
      </x:c>
      <x:c r="E47" s="84" t="str">
        <x:f>'Source Data'!$AE$16</x:f>
        <x:v>5.514</x:v>
      </x:c>
      <x:c r="F47" s="84" t="str">
        <x:f>'Source Data'!$AI$16</x:f>
        <x:v>4.32</x:v>
      </x:c>
      <x:c r="G47" s="82"/>
    </x:row>
    <x:row r="48" ht="18" customHeight="1">
      <x:c r="A48" s="92" t="str">
        <x:v>New non-TITE | 2-stage highest utility</x:v>
      </x:c>
      <x:c r="B48" s="96" t="str">
        <x:f>'Source Data'!$S$17</x:f>
        <x:v>7.575</x:v>
      </x:c>
      <x:c r="C48" s="96" t="str">
        <x:f>'Source Data'!$W$17</x:f>
        <x:v>6.816</x:v>
      </x:c>
      <x:c r="D48" s="96" t="str">
        <x:f>'Source Data'!$AA$17</x:f>
        <x:v>5.691</x:v>
      </x:c>
      <x:c r="E48" s="96" t="str">
        <x:f>'Source Data'!$AE$17</x:f>
        <x:v>5.49</x:v>
      </x:c>
      <x:c r="F48" s="96" t="str">
        <x:f>'Source Data'!$AI$17</x:f>
        <x:v>4.428</x:v>
      </x:c>
      <x:c r="G48" s="94"/>
    </x:row>
    <x:row r="49" ht="18" customHeight="1">
      <x:c r="A49" s="80" t="str">
        <x:v>TITE | 2-stage top-2 randomized</x:v>
      </x:c>
      <x:c r="B49" s="84" t="str">
        <x:f>'Source Data'!$S$28</x:f>
        <x:v>7.347</x:v>
      </x:c>
      <x:c r="C49" s="84" t="str">
        <x:f>'Source Data'!$W$28</x:f>
        <x:v>6.957</x:v>
      </x:c>
      <x:c r="D49" s="84" t="str">
        <x:f>'Source Data'!$AA$28</x:f>
        <x:v>5.859</x:v>
      </x:c>
      <x:c r="E49" s="84" t="str">
        <x:f>'Source Data'!$AE$28</x:f>
        <x:v>5.514</x:v>
      </x:c>
      <x:c r="F49" s="84" t="str">
        <x:f>'Source Data'!$AI$28</x:f>
        <x:v>4.32</x:v>
      </x:c>
      <x:c r="G49" s="82"/>
    </x:row>
    <x:row r="50" ht="18" customHeight="1">
      <x:c r="A50" s="92" t="str">
        <x:v>New non-TITE | 2-stage top-2 randomized</x:v>
      </x:c>
      <x:c r="B50" s="96" t="str">
        <x:f>'Source Data'!$S$29</x:f>
        <x:v>6.607</x:v>
      </x:c>
      <x:c r="C50" s="96" t="str">
        <x:f>'Source Data'!$W$29</x:f>
        <x:v>6.091</x:v>
      </x:c>
      <x:c r="D50" s="96" t="str">
        <x:f>'Source Data'!$AA$29</x:f>
        <x:v>5.6</x:v>
      </x:c>
      <x:c r="E50" s="96" t="str">
        <x:f>'Source Data'!$AE$29</x:f>
        <x:v>6.108</x:v>
      </x:c>
      <x:c r="F50" s="96" t="str">
        <x:f>'Source Data'!$AI$29</x:f>
        <x:v>5.594</x:v>
      </x:c>
      <x:c r="G50" s="94"/>
    </x:row>
    <x:row r="51" ht="18" customHeight="1">
      <x:c r="A51" s="70" t="str">
        <x:v>Run-level means</x:v>
      </x:c>
      <x:c r="B51" s="72" t="str">
        <x:v>Total admin.</x:v>
      </x:c>
      <x:c r="C51" s="72" t="str">
        <x:v>Unique patients</x:v>
      </x:c>
      <x:c r="D51" s="72" t="str">
        <x:v>Duration days</x:v>
      </x:c>
      <x:c r="E51" s="72"/>
      <x:c r="F51" s="72"/>
      <x:c r="G51" s="72"/>
    </x:row>
    <x:row r="52" ht="18" customHeight="1">
      <x:c r="A52" s="80" t="str">
        <x:v>TITE | one-stage</x:v>
      </x:c>
      <x:c r="B52" s="84" t="str">
        <x:f>'Source Data'!$M$4</x:f>
        <x:v>29.997</x:v>
      </x:c>
      <x:c r="C52" s="84" t="str">
        <x:f>'Source Data'!$N$4</x:f>
        <x:v>17.973</x:v>
      </x:c>
      <x:c r="D52" s="84" t="str">
        <x:f>'Source Data'!$O$4</x:f>
        <x:v>1082.20374335625</x:v>
      </x:c>
      <x:c r="E52" s="82"/>
      <x:c r="F52" s="82"/>
      <x:c r="G52" s="82"/>
    </x:row>
    <x:row r="53" ht="18" customHeight="1">
      <x:c r="A53" s="92" t="str">
        <x:v>New non-TITE | one-stage</x:v>
      </x:c>
      <x:c r="B53" s="96" t="str">
        <x:f>'Source Data'!$M$5</x:f>
        <x:v>30.0</x:v>
      </x:c>
      <x:c r="C53" s="96" t="str">
        <x:f>'Source Data'!$N$5</x:f>
        <x:v>18.216</x:v>
      </x:c>
      <x:c r="D53" s="96" t="str">
        <x:f>'Source Data'!$O$5</x:f>
        <x:v>1000.2187</x:v>
      </x:c>
      <x:c r="E53" s="94"/>
      <x:c r="F53" s="94"/>
      <x:c r="G53" s="94"/>
    </x:row>
    <x:row r="54" ht="18" customHeight="1">
      <x:c r="A54" s="80" t="str">
        <x:v>TITE | 2-stage highest utility</x:v>
      </x:c>
      <x:c r="B54" s="84" t="str">
        <x:f>'Source Data'!$M$16</x:f>
        <x:v>29.997</x:v>
      </x:c>
      <x:c r="C54" s="84" t="str">
        <x:f>'Source Data'!$N$16</x:f>
        <x:v>17.912</x:v>
      </x:c>
      <x:c r="D54" s="84" t="str">
        <x:f>'Source Data'!$O$16</x:f>
        <x:v>1080.03414757293</x:v>
      </x:c>
      <x:c r="E54" s="82"/>
      <x:c r="F54" s="82"/>
      <x:c r="G54" s="82"/>
    </x:row>
    <x:row r="55" ht="18" customHeight="1">
      <x:c r="A55" s="92" t="str">
        <x:v>New non-TITE | 2-stage highest utility</x:v>
      </x:c>
      <x:c r="B55" s="96" t="str">
        <x:f>'Source Data'!$M$17</x:f>
        <x:v>30.0</x:v>
      </x:c>
      <x:c r="C55" s="96" t="str">
        <x:f>'Source Data'!$N$17</x:f>
        <x:v>18.216</x:v>
      </x:c>
      <x:c r="D55" s="96" t="str">
        <x:f>'Source Data'!$O$17</x:f>
        <x:v>1000.32</x:v>
      </x:c>
      <x:c r="E55" s="94"/>
      <x:c r="F55" s="94"/>
      <x:c r="G55" s="94"/>
    </x:row>
    <x:row r="56" ht="18" customHeight="1">
      <x:c r="A56" s="80" t="str">
        <x:v>TITE | 2-stage top-2 randomized</x:v>
      </x:c>
      <x:c r="B56" s="84" t="str">
        <x:f>'Source Data'!$M$28</x:f>
        <x:v>29.997</x:v>
      </x:c>
      <x:c r="C56" s="84" t="str">
        <x:f>'Source Data'!$N$28</x:f>
        <x:v>17.912</x:v>
      </x:c>
      <x:c r="D56" s="84" t="str">
        <x:f>'Source Data'!$O$28</x:f>
        <x:v>1080.03414757293</x:v>
      </x:c>
      <x:c r="E56" s="82"/>
      <x:c r="F56" s="82"/>
      <x:c r="G56" s="82"/>
    </x:row>
    <x:row r="57" ht="18" customHeight="1">
      <x:c r="A57" s="92" t="str">
        <x:v>New non-TITE | 2-stage top-2 randomized</x:v>
      </x:c>
      <x:c r="B57" s="96" t="str">
        <x:f>'Source Data'!$M$29</x:f>
        <x:v>30.0</x:v>
      </x:c>
      <x:c r="C57" s="96" t="str">
        <x:f>'Source Data'!$N$29</x:f>
        <x:v>18.298</x:v>
      </x:c>
      <x:c r="D57" s="96" t="str">
        <x:f>'Source Data'!$O$29</x:f>
        <x:v>1005.8567</x:v>
      </x:c>
      <x:c r="E57" s="94"/>
      <x:c r="F57" s="94"/>
      <x:c r="G57" s="94"/>
    </x:row>
    <x:row r="60" ht="20" customHeight="1">
      <x:c r="A60" s="58" t="str">
        <x:v>Scenario 20</x:v>
      </x:c>
      <x:c r="B60" s="58"/>
      <x:c r="C60" s="58"/>
      <x:c r="D60" s="58"/>
      <x:c r="E60" s="58"/>
      <x:c r="F60" s="58"/>
      <x:c r="G60" s="58"/>
    </x:row>
    <x:row r="61" ht="18" customHeight="1">
      <x:c r="A61" s="6" t="str">
        <x:v>DLT rate</x:v>
      </x:c>
      <x:c r="B61" s="62" t="str">
        <x:f>'Source Data'!$P$31</x:f>
        <x:v>0.07</x:v>
      </x:c>
      <x:c r="C61" s="62" t="str">
        <x:f>'Source Data'!$T$31</x:f>
        <x:v>0.14</x:v>
      </x:c>
      <x:c r="D61" s="62" t="str">
        <x:f>'Source Data'!$X$31</x:f>
        <x:v>0.31</x:v>
      </x:c>
      <x:c r="E61" s="62" t="str">
        <x:f>'Source Data'!$AB$31</x:f>
        <x:v>0.41</x:v>
      </x:c>
      <x:c r="F61" s="62" t="str">
        <x:f>'Source Data'!$AF$31</x:f>
        <x:v>0.52</x:v>
      </x:c>
      <x:c r="G61" s="60"/>
    </x:row>
    <x:row r="62" ht="18" customHeight="1">
      <x:c r="A62" s="6" t="str">
        <x:v>Efficacy rate</x:v>
      </x:c>
      <x:c r="B62" s="62" t="str">
        <x:f>'Source Data'!$Q$31</x:f>
        <x:v>0.05</x:v>
      </x:c>
      <x:c r="C62" s="62" t="str">
        <x:f>'Source Data'!$U$31</x:f>
        <x:v>0.25</x:v>
      </x:c>
      <x:c r="D62" s="62" t="str">
        <x:f>'Source Data'!$Y$31</x:f>
        <x:v>0.25</x:v>
      </x:c>
      <x:c r="E62" s="62" t="str">
        <x:f>'Source Data'!$AC$31</x:f>
        <x:v>0.25</x:v>
      </x:c>
      <x:c r="F62" s="62" t="str">
        <x:f>'Source Data'!$AG$31</x:f>
        <x:v>0.25</x:v>
      </x:c>
      <x:c r="G62" s="60"/>
    </x:row>
    <x:row r="63" ht="18" customHeight="1">
      <x:c r="A63" s="70" t="str">
        <x:v>OBD selection (%)</x:v>
      </x:c>
      <x:c r="B63" s="72"/>
      <x:c r="C63" s="72"/>
      <x:c r="D63" s="72"/>
      <x:c r="E63" s="72"/>
      <x:c r="F63" s="72"/>
      <x:c r="G63" s="72"/>
    </x:row>
    <x:row r="64" ht="18" customHeight="1">
      <x:c r="A64" s="80" t="str">
        <x:v>TITE | one-stage</x:v>
      </x:c>
      <x:c r="B64" s="84" t="str">
        <x:f>'Source Data'!$R$6</x:f>
        <x:v>10.1</x:v>
      </x:c>
      <x:c r="C64" s="84" t="str">
        <x:f>'Source Data'!$V$6</x:f>
        <x:v>45.3</x:v>
      </x:c>
      <x:c r="D64" s="84" t="str">
        <x:f>'Source Data'!$Z$6</x:f>
        <x:v>26.7</x:v>
      </x:c>
      <x:c r="E64" s="84" t="str">
        <x:f>'Source Data'!$AD$6</x:f>
        <x:v>13.5</x:v>
      </x:c>
      <x:c r="F64" s="84" t="str">
        <x:f>'Source Data'!$AH$6</x:f>
        <x:v>1.6</x:v>
      </x:c>
      <x:c r="G64" s="84" t="str">
        <x:f>'Source Data'!$L$6</x:f>
        <x:v>2.8000000000000114</x:v>
      </x:c>
    </x:row>
    <x:row r="65" ht="18" customHeight="1">
      <x:c r="A65" s="92" t="str">
        <x:v>New non-TITE | one-stage</x:v>
      </x:c>
      <x:c r="B65" s="96" t="str">
        <x:f>'Source Data'!$R$7</x:f>
        <x:v>15.2</x:v>
      </x:c>
      <x:c r="C65" s="96" t="str">
        <x:f>'Source Data'!$V$7</x:f>
        <x:v>44.0</x:v>
      </x:c>
      <x:c r="D65" s="96" t="str">
        <x:f>'Source Data'!$Z$7</x:f>
        <x:v>25.1</x:v>
      </x:c>
      <x:c r="E65" s="96" t="str">
        <x:f>'Source Data'!$AD$7</x:f>
        <x:v>11.4</x:v>
      </x:c>
      <x:c r="F65" s="96" t="str">
        <x:f>'Source Data'!$AH$7</x:f>
        <x:v>1.6</x:v>
      </x:c>
      <x:c r="G65" s="96" t="str">
        <x:f>'Source Data'!$L$7</x:f>
        <x:v>2.7</x:v>
      </x:c>
    </x:row>
    <x:row r="66" ht="18" customHeight="1">
      <x:c r="A66" s="80" t="str">
        <x:v>TITE | 2-stage highest utility</x:v>
      </x:c>
      <x:c r="B66" s="84" t="str">
        <x:f>'Source Data'!$R$18</x:f>
        <x:v>11.0</x:v>
      </x:c>
      <x:c r="C66" s="84" t="str">
        <x:f>'Source Data'!$V$18</x:f>
        <x:v>50.2</x:v>
      </x:c>
      <x:c r="D66" s="84" t="str">
        <x:f>'Source Data'!$Z$18</x:f>
        <x:v>25.9</x:v>
      </x:c>
      <x:c r="E66" s="84" t="str">
        <x:f>'Source Data'!$AD$18</x:f>
        <x:v>8.8</x:v>
      </x:c>
      <x:c r="F66" s="84" t="str">
        <x:f>'Source Data'!$AH$18</x:f>
        <x:v>1.2</x:v>
      </x:c>
      <x:c r="G66" s="84" t="str">
        <x:f>'Source Data'!$L$18</x:f>
        <x:v>2.9000000000000057</x:v>
      </x:c>
    </x:row>
    <x:row r="67" ht="18" customHeight="1">
      <x:c r="A67" s="92" t="str">
        <x:v>New non-TITE | 2-stage highest utility</x:v>
      </x:c>
      <x:c r="B67" s="96" t="str">
        <x:f>'Source Data'!$R$19</x:f>
        <x:v>14.2</x:v>
      </x:c>
      <x:c r="C67" s="96" t="str">
        <x:f>'Source Data'!$V$19</x:f>
        <x:v>47.4</x:v>
      </x:c>
      <x:c r="D67" s="96" t="str">
        <x:f>'Source Data'!$Z$19</x:f>
        <x:v>25.8</x:v>
      </x:c>
      <x:c r="E67" s="96" t="str">
        <x:f>'Source Data'!$AD$19</x:f>
        <x:v>7.7</x:v>
      </x:c>
      <x:c r="F67" s="96" t="str">
        <x:f>'Source Data'!$AH$19</x:f>
        <x:v>1.7</x:v>
      </x:c>
      <x:c r="G67" s="96" t="str">
        <x:f>'Source Data'!$L$19</x:f>
        <x:v>3.2</x:v>
      </x:c>
    </x:row>
    <x:row r="68" ht="18" customHeight="1">
      <x:c r="A68" s="80" t="str">
        <x:v>TITE | 2-stage top-2 randomized</x:v>
      </x:c>
      <x:c r="B68" s="84" t="str">
        <x:f>'Source Data'!$R$30</x:f>
        <x:v>11.0</x:v>
      </x:c>
      <x:c r="C68" s="84" t="str">
        <x:f>'Source Data'!$V$30</x:f>
        <x:v>50.2</x:v>
      </x:c>
      <x:c r="D68" s="84" t="str">
        <x:f>'Source Data'!$Z$30</x:f>
        <x:v>25.9</x:v>
      </x:c>
      <x:c r="E68" s="84" t="str">
        <x:f>'Source Data'!$AD$30</x:f>
        <x:v>8.8</x:v>
      </x:c>
      <x:c r="F68" s="84" t="str">
        <x:f>'Source Data'!$AH$30</x:f>
        <x:v>1.2</x:v>
      </x:c>
      <x:c r="G68" s="84" t="str">
        <x:f>'Source Data'!$L$30</x:f>
        <x:v>2.9000000000000057</x:v>
      </x:c>
    </x:row>
    <x:row r="69" ht="18" customHeight="1">
      <x:c r="A69" s="92" t="str">
        <x:v>New non-TITE | 2-stage top-2 randomized</x:v>
      </x:c>
      <x:c r="B69" s="96" t="str">
        <x:f>'Source Data'!$R$31</x:f>
        <x:v>10.4</x:v>
      </x:c>
      <x:c r="C69" s="96" t="str">
        <x:f>'Source Data'!$V$31</x:f>
        <x:v>47.7</x:v>
      </x:c>
      <x:c r="D69" s="96" t="str">
        <x:f>'Source Data'!$Z$31</x:f>
        <x:v>25.6</x:v>
      </x:c>
      <x:c r="E69" s="96" t="str">
        <x:f>'Source Data'!$AD$31</x:f>
        <x:v>10.6</x:v>
      </x:c>
      <x:c r="F69" s="96" t="str">
        <x:f>'Source Data'!$AH$31</x:f>
        <x:v>2.7</x:v>
      </x:c>
      <x:c r="G69" s="96" t="str">
        <x:f>'Source Data'!$L$31</x:f>
        <x:v>3.0</x:v>
      </x:c>
    </x:row>
    <x:row r="70" ht="18" customHeight="1">
      <x:c r="A70" s="70" t="str">
        <x:v>Mean administrations by dose</x:v>
      </x:c>
      <x:c r="B70" s="72"/>
      <x:c r="C70" s="72"/>
      <x:c r="D70" s="72"/>
      <x:c r="E70" s="72"/>
      <x:c r="F70" s="72"/>
      <x:c r="G70" s="72"/>
    </x:row>
    <x:row r="71" ht="18" customHeight="1">
      <x:c r="A71" s="80" t="str">
        <x:v>TITE | one-stage</x:v>
      </x:c>
      <x:c r="B71" s="84" t="str">
        <x:f>'Source Data'!$S$6</x:f>
        <x:v>5.133</x:v>
      </x:c>
      <x:c r="C71" s="84" t="str">
        <x:f>'Source Data'!$W$6</x:f>
        <x:v>10.644</x:v>
      </x:c>
      <x:c r="D71" s="84" t="str">
        <x:f>'Source Data'!$AA$6</x:f>
        <x:v>7.878</x:v>
      </x:c>
      <x:c r="E71" s="84" t="str">
        <x:f>'Source Data'!$AE$6</x:f>
        <x:v>4.467</x:v>
      </x:c>
      <x:c r="F71" s="84" t="str">
        <x:f>'Source Data'!$AI$6</x:f>
        <x:v>1.431</x:v>
      </x:c>
      <x:c r="G71" s="82"/>
    </x:row>
    <x:row r="72" ht="18" customHeight="1">
      <x:c r="A72" s="92" t="str">
        <x:v>New non-TITE | one-stage</x:v>
      </x:c>
      <x:c r="B72" s="96" t="str">
        <x:f>'Source Data'!$S$7</x:f>
        <x:v>5.208</x:v>
      </x:c>
      <x:c r="C72" s="96" t="str">
        <x:f>'Source Data'!$W$7</x:f>
        <x:v>11.067</x:v>
      </x:c>
      <x:c r="D72" s="96" t="str">
        <x:f>'Source Data'!$AA$7</x:f>
        <x:v>7.626</x:v>
      </x:c>
      <x:c r="E72" s="96" t="str">
        <x:f>'Source Data'!$AE$7</x:f>
        <x:v>4.233</x:v>
      </x:c>
      <x:c r="F72" s="96" t="str">
        <x:f>'Source Data'!$AI$7</x:f>
        <x:v>1.383</x:v>
      </x:c>
      <x:c r="G72" s="94"/>
    </x:row>
    <x:row r="73" ht="18" customHeight="1">
      <x:c r="A73" s="80" t="str">
        <x:v>TITE | 2-stage highest utility</x:v>
      </x:c>
      <x:c r="B73" s="84" t="str">
        <x:f>'Source Data'!$S$18</x:f>
        <x:v>5.37</x:v>
      </x:c>
      <x:c r="C73" s="84" t="str">
        <x:f>'Source Data'!$W$18</x:f>
        <x:v>11.082</x:v>
      </x:c>
      <x:c r="D73" s="84" t="str">
        <x:f>'Source Data'!$AA$18</x:f>
        <x:v>7.986</x:v>
      </x:c>
      <x:c r="E73" s="84" t="str">
        <x:f>'Source Data'!$AE$18</x:f>
        <x:v>3.753</x:v>
      </x:c>
      <x:c r="F73" s="84" t="str">
        <x:f>'Source Data'!$AI$18</x:f>
        <x:v>1.371</x:v>
      </x:c>
      <x:c r="G73" s="82"/>
    </x:row>
    <x:row r="74" ht="18" customHeight="1">
      <x:c r="A74" s="92" t="str">
        <x:v>New non-TITE | 2-stage highest utility</x:v>
      </x:c>
      <x:c r="B74" s="96" t="str">
        <x:f>'Source Data'!$S$19</x:f>
        <x:v>5.325</x:v>
      </x:c>
      <x:c r="C74" s="96" t="str">
        <x:f>'Source Data'!$W$19</x:f>
        <x:v>11.226</x:v>
      </x:c>
      <x:c r="D74" s="96" t="str">
        <x:f>'Source Data'!$AA$19</x:f>
        <x:v>7.887</x:v>
      </x:c>
      <x:c r="E74" s="96" t="str">
        <x:f>'Source Data'!$AE$19</x:f>
        <x:v>3.75</x:v>
      </x:c>
      <x:c r="F74" s="96" t="str">
        <x:f>'Source Data'!$AI$19</x:f>
        <x:v>1.323</x:v>
      </x:c>
      <x:c r="G74" s="94"/>
    </x:row>
    <x:row r="75" ht="18" customHeight="1">
      <x:c r="A75" s="80" t="str">
        <x:v>TITE | 2-stage top-2 randomized</x:v>
      </x:c>
      <x:c r="B75" s="84" t="str">
        <x:f>'Source Data'!$S$30</x:f>
        <x:v>5.37</x:v>
      </x:c>
      <x:c r="C75" s="84" t="str">
        <x:f>'Source Data'!$W$30</x:f>
        <x:v>11.082</x:v>
      </x:c>
      <x:c r="D75" s="84" t="str">
        <x:f>'Source Data'!$AA$30</x:f>
        <x:v>7.986</x:v>
      </x:c>
      <x:c r="E75" s="84" t="str">
        <x:f>'Source Data'!$AE$30</x:f>
        <x:v>3.753</x:v>
      </x:c>
      <x:c r="F75" s="84" t="str">
        <x:f>'Source Data'!$AI$30</x:f>
        <x:v>1.371</x:v>
      </x:c>
      <x:c r="G75" s="82"/>
    </x:row>
    <x:row r="76" ht="18" customHeight="1">
      <x:c r="A76" s="92" t="str">
        <x:v>New non-TITE | 2-stage top-2 randomized</x:v>
      </x:c>
      <x:c r="B76" s="96" t="str">
        <x:f>'Source Data'!$S$31</x:f>
        <x:v>5.682</x:v>
      </x:c>
      <x:c r="C76" s="96" t="str">
        <x:f>'Source Data'!$W$31</x:f>
        <x:v>9.475</x:v>
      </x:c>
      <x:c r="D76" s="96" t="str">
        <x:f>'Source Data'!$AA$31</x:f>
        <x:v>7.978</x:v>
      </x:c>
      <x:c r="E76" s="96" t="str">
        <x:f>'Source Data'!$AE$31</x:f>
        <x:v>4.624</x:v>
      </x:c>
      <x:c r="F76" s="96" t="str">
        <x:f>'Source Data'!$AI$31</x:f>
        <x:v>1.77</x:v>
      </x:c>
      <x:c r="G76" s="94"/>
    </x:row>
    <x:row r="77" ht="18" customHeight="1">
      <x:c r="A77" s="70" t="str">
        <x:v>Run-level means</x:v>
      </x:c>
      <x:c r="B77" s="72" t="str">
        <x:v>Total admin.</x:v>
      </x:c>
      <x:c r="C77" s="72" t="str">
        <x:v>Unique patients</x:v>
      </x:c>
      <x:c r="D77" s="72" t="str">
        <x:v>Duration days</x:v>
      </x:c>
      <x:c r="E77" s="72"/>
      <x:c r="F77" s="72"/>
      <x:c r="G77" s="72"/>
    </x:row>
    <x:row r="78" ht="18" customHeight="1">
      <x:c r="A78" s="80" t="str">
        <x:v>TITE | one-stage</x:v>
      </x:c>
      <x:c r="B78" s="84" t="str">
        <x:f>'Source Data'!$M$6</x:f>
        <x:v>29.553</x:v>
      </x:c>
      <x:c r="C78" s="84" t="str">
        <x:f>'Source Data'!$N$6</x:f>
        <x:v>18.777</x:v>
      </x:c>
      <x:c r="D78" s="84" t="str">
        <x:f>'Source Data'!$O$6</x:f>
        <x:v>1104.1705949236</x:v>
      </x:c>
      <x:c r="E78" s="82"/>
      <x:c r="F78" s="82"/>
      <x:c r="G78" s="82"/>
    </x:row>
    <x:row r="79" ht="18" customHeight="1">
      <x:c r="A79" s="92" t="str">
        <x:v>New non-TITE | one-stage</x:v>
      </x:c>
      <x:c r="B79" s="96" t="str">
        <x:f>'Source Data'!$M$7</x:f>
        <x:v>29.517</x:v>
      </x:c>
      <x:c r="C79" s="96" t="str">
        <x:f>'Source Data'!$N$7</x:f>
        <x:v>18.864</x:v>
      </x:c>
      <x:c r="D79" s="96" t="str">
        <x:f>'Source Data'!$O$7</x:f>
        <x:v>1036.3184</x:v>
      </x:c>
      <x:c r="E79" s="94"/>
      <x:c r="F79" s="94"/>
      <x:c r="G79" s="94"/>
    </x:row>
    <x:row r="80" ht="18" customHeight="1">
      <x:c r="A80" s="80" t="str">
        <x:v>TITE | 2-stage highest utility</x:v>
      </x:c>
      <x:c r="B80" s="84" t="str">
        <x:f>'Source Data'!$M$18</x:f>
        <x:v>29.562</x:v>
      </x:c>
      <x:c r="C80" s="84" t="str">
        <x:f>'Source Data'!$N$18</x:f>
        <x:v>18.768</x:v>
      </x:c>
      <x:c r="D80" s="84" t="str">
        <x:f>'Source Data'!$O$18</x:f>
        <x:v>1102.63965162177</x:v>
      </x:c>
      <x:c r="E80" s="82"/>
      <x:c r="F80" s="82"/>
      <x:c r="G80" s="82"/>
    </x:row>
    <x:row r="81" ht="18" customHeight="1">
      <x:c r="A81" s="92" t="str">
        <x:v>New non-TITE | 2-stage highest utility</x:v>
      </x:c>
      <x:c r="B81" s="96" t="str">
        <x:f>'Source Data'!$M$19</x:f>
        <x:v>29.511</x:v>
      </x:c>
      <x:c r="C81" s="96" t="str">
        <x:f>'Source Data'!$N$19</x:f>
        <x:v>18.855</x:v>
      </x:c>
      <x:c r="D81" s="96" t="str">
        <x:f>'Source Data'!$O$19</x:f>
        <x:v>1035.6512</x:v>
      </x:c>
      <x:c r="E81" s="94"/>
      <x:c r="F81" s="94"/>
      <x:c r="G81" s="94"/>
    </x:row>
    <x:row r="82" ht="18" customHeight="1">
      <x:c r="A82" s="80" t="str">
        <x:v>TITE | 2-stage top-2 randomized</x:v>
      </x:c>
      <x:c r="B82" s="84" t="str">
        <x:f>'Source Data'!$M$30</x:f>
        <x:v>29.562</x:v>
      </x:c>
      <x:c r="C82" s="84" t="str">
        <x:f>'Source Data'!$N$30</x:f>
        <x:v>18.768</x:v>
      </x:c>
      <x:c r="D82" s="84" t="str">
        <x:f>'Source Data'!$O$30</x:f>
        <x:v>1102.63965162177</x:v>
      </x:c>
      <x:c r="E82" s="82"/>
      <x:c r="F82" s="82"/>
      <x:c r="G82" s="82"/>
    </x:row>
    <x:row r="83" ht="18" customHeight="1">
      <x:c r="A83" s="92" t="str">
        <x:v>New non-TITE | 2-stage top-2 randomized</x:v>
      </x:c>
      <x:c r="B83" s="96" t="str">
        <x:f>'Source Data'!$M$31</x:f>
        <x:v>29.529</x:v>
      </x:c>
      <x:c r="C83" s="96" t="str">
        <x:f>'Source Data'!$N$31</x:f>
        <x:v>19.018</x:v>
      </x:c>
      <x:c r="D83" s="96" t="str">
        <x:f>'Source Data'!$O$31</x:f>
        <x:v>1043.832</x:v>
      </x:c>
      <x:c r="E83" s="94"/>
      <x:c r="F83" s="94"/>
      <x:c r="G83" s="94"/>
    </x:row>
    <x:row r="86" ht="20" customHeight="1">
      <x:c r="A86" s="58" t="str">
        <x:v>Scenario 24</x:v>
      </x:c>
      <x:c r="B86" s="58"/>
      <x:c r="C86" s="58"/>
      <x:c r="D86" s="58"/>
      <x:c r="E86" s="58"/>
      <x:c r="F86" s="58"/>
      <x:c r="G86" s="58"/>
    </x:row>
    <x:row r="87" ht="18" customHeight="1">
      <x:c r="A87" s="6" t="str">
        <x:v>DLT rate</x:v>
      </x:c>
      <x:c r="B87" s="62" t="str">
        <x:f>'Source Data'!$P$33</x:f>
        <x:v>0.01</x:v>
      </x:c>
      <x:c r="C87" s="62" t="str">
        <x:f>'Source Data'!$T$33</x:f>
        <x:v>0.02</x:v>
      </x:c>
      <x:c r="D87" s="62" t="str">
        <x:f>'Source Data'!$X$33</x:f>
        <x:v>0.05</x:v>
      </x:c>
      <x:c r="E87" s="62" t="str">
        <x:f>'Source Data'!$AB$33</x:f>
        <x:v>0.1</x:v>
      </x:c>
      <x:c r="F87" s="62" t="str">
        <x:f>'Source Data'!$AF$33</x:f>
        <x:v>0.25</x:v>
      </x:c>
      <x:c r="G87" s="60"/>
    </x:row>
    <x:row r="88" ht="18" customHeight="1">
      <x:c r="A88" s="6" t="str">
        <x:v>Efficacy rate</x:v>
      </x:c>
      <x:c r="B88" s="62" t="str">
        <x:f>'Source Data'!$Q$33</x:f>
        <x:v>0.05</x:v>
      </x:c>
      <x:c r="C88" s="62" t="str">
        <x:f>'Source Data'!$U$33</x:f>
        <x:v>0.08</x:v>
      </x:c>
      <x:c r="D88" s="62" t="str">
        <x:f>'Source Data'!$Y$33</x:f>
        <x:v>0.2</x:v>
      </x:c>
      <x:c r="E88" s="62" t="str">
        <x:f>'Source Data'!$AC$33</x:f>
        <x:v>0.5</x:v>
      </x:c>
      <x:c r="F88" s="62" t="str">
        <x:f>'Source Data'!$AG$33</x:f>
        <x:v>0.5</x:v>
      </x:c>
      <x:c r="G88" s="60"/>
    </x:row>
    <x:row r="89" ht="18" customHeight="1">
      <x:c r="A89" s="70" t="str">
        <x:v>OBD selection (%)</x:v>
      </x:c>
      <x:c r="B89" s="72"/>
      <x:c r="C89" s="72"/>
      <x:c r="D89" s="72"/>
      <x:c r="E89" s="72"/>
      <x:c r="F89" s="72"/>
      <x:c r="G89" s="72"/>
    </x:row>
    <x:row r="90" ht="18" customHeight="1">
      <x:c r="A90" s="80" t="str">
        <x:v>TITE | one-stage</x:v>
      </x:c>
      <x:c r="B90" s="84" t="str">
        <x:f>'Source Data'!$R$8</x:f>
        <x:v>1.1</x:v>
      </x:c>
      <x:c r="C90" s="84" t="str">
        <x:f>'Source Data'!$V$8</x:f>
        <x:v>1.1</x:v>
      </x:c>
      <x:c r="D90" s="84" t="str">
        <x:f>'Source Data'!$Z$8</x:f>
        <x:v>4.2</x:v>
      </x:c>
      <x:c r="E90" s="84" t="str">
        <x:f>'Source Data'!$AD$8</x:f>
        <x:v>59.7</x:v>
      </x:c>
      <x:c r="F90" s="84" t="str">
        <x:f>'Source Data'!$AH$8</x:f>
        <x:v>33.9</x:v>
      </x:c>
      <x:c r="G90" s="84" t="str">
        <x:f>'Source Data'!$L$8</x:f>
        <x:v>0.0</x:v>
      </x:c>
    </x:row>
    <x:row r="91" ht="18" customHeight="1">
      <x:c r="A91" s="92" t="str">
        <x:v>New non-TITE | one-stage</x:v>
      </x:c>
      <x:c r="B91" s="96" t="str">
        <x:f>'Source Data'!$R$9</x:f>
        <x:v>1.4</x:v>
      </x:c>
      <x:c r="C91" s="96" t="str">
        <x:f>'Source Data'!$V$9</x:f>
        <x:v>1.4</x:v>
      </x:c>
      <x:c r="D91" s="96" t="str">
        <x:f>'Source Data'!$Z$9</x:f>
        <x:v>4.7</x:v>
      </x:c>
      <x:c r="E91" s="96" t="str">
        <x:f>'Source Data'!$AD$9</x:f>
        <x:v>59.1</x:v>
      </x:c>
      <x:c r="F91" s="96" t="str">
        <x:f>'Source Data'!$AH$9</x:f>
        <x:v>33.4</x:v>
      </x:c>
      <x:c r="G91" s="96" t="str">
        <x:f>'Source Data'!$L$9</x:f>
        <x:v>0.0</x:v>
      </x:c>
    </x:row>
    <x:row r="92" ht="18" customHeight="1">
      <x:c r="A92" s="80" t="str">
        <x:v>TITE | 2-stage highest utility</x:v>
      </x:c>
      <x:c r="B92" s="84" t="str">
        <x:f>'Source Data'!$R$20</x:f>
        <x:v>1.3</x:v>
      </x:c>
      <x:c r="C92" s="84" t="str">
        <x:f>'Source Data'!$V$20</x:f>
        <x:v>1.8</x:v>
      </x:c>
      <x:c r="D92" s="84" t="str">
        <x:f>'Source Data'!$Z$20</x:f>
        <x:v>4.8</x:v>
      </x:c>
      <x:c r="E92" s="84" t="str">
        <x:f>'Source Data'!$AD$20</x:f>
        <x:v>56.0</x:v>
      </x:c>
      <x:c r="F92" s="84" t="str">
        <x:f>'Source Data'!$AH$20</x:f>
        <x:v>36.1</x:v>
      </x:c>
      <x:c r="G92" s="84" t="str">
        <x:f>'Source Data'!$L$20</x:f>
        <x:v>0.0</x:v>
      </x:c>
    </x:row>
    <x:row r="93" ht="18" customHeight="1">
      <x:c r="A93" s="92" t="str">
        <x:v>New non-TITE | 2-stage highest utility</x:v>
      </x:c>
      <x:c r="B93" s="96" t="str">
        <x:f>'Source Data'!$R$21</x:f>
        <x:v>2.0</x:v>
      </x:c>
      <x:c r="C93" s="96" t="str">
        <x:f>'Source Data'!$V$21</x:f>
        <x:v>1.5</x:v>
      </x:c>
      <x:c r="D93" s="96" t="str">
        <x:f>'Source Data'!$Z$21</x:f>
        <x:v>6.2</x:v>
      </x:c>
      <x:c r="E93" s="96" t="str">
        <x:f>'Source Data'!$AD$21</x:f>
        <x:v>55.5</x:v>
      </x:c>
      <x:c r="F93" s="96" t="str">
        <x:f>'Source Data'!$AH$21</x:f>
        <x:v>34.8</x:v>
      </x:c>
      <x:c r="G93" s="96" t="str">
        <x:f>'Source Data'!$L$21</x:f>
        <x:v>0.0</x:v>
      </x:c>
    </x:row>
    <x:row r="94" ht="18" customHeight="1">
      <x:c r="A94" s="80" t="str">
        <x:v>TITE | 2-stage top-2 randomized</x:v>
      </x:c>
      <x:c r="B94" s="84" t="str">
        <x:f>'Source Data'!$R$32</x:f>
        <x:v>1.3</x:v>
      </x:c>
      <x:c r="C94" s="84" t="str">
        <x:f>'Source Data'!$V$32</x:f>
        <x:v>1.8</x:v>
      </x:c>
      <x:c r="D94" s="84" t="str">
        <x:f>'Source Data'!$Z$32</x:f>
        <x:v>4.8</x:v>
      </x:c>
      <x:c r="E94" s="84" t="str">
        <x:f>'Source Data'!$AD$32</x:f>
        <x:v>56.0</x:v>
      </x:c>
      <x:c r="F94" s="84" t="str">
        <x:f>'Source Data'!$AH$32</x:f>
        <x:v>36.1</x:v>
      </x:c>
      <x:c r="G94" s="84" t="str">
        <x:f>'Source Data'!$L$32</x:f>
        <x:v>0.0</x:v>
      </x:c>
    </x:row>
    <x:row r="95" ht="18" customHeight="1">
      <x:c r="A95" s="92" t="str">
        <x:v>New non-TITE | 2-stage top-2 randomized</x:v>
      </x:c>
      <x:c r="B95" s="96" t="str">
        <x:f>'Source Data'!$R$33</x:f>
        <x:v>0.4</x:v>
      </x:c>
      <x:c r="C95" s="96" t="str">
        <x:f>'Source Data'!$V$33</x:f>
        <x:v>0.8</x:v>
      </x:c>
      <x:c r="D95" s="96" t="str">
        <x:f>'Source Data'!$Z$33</x:f>
        <x:v>3.6</x:v>
      </x:c>
      <x:c r="E95" s="96" t="str">
        <x:f>'Source Data'!$AD$33</x:f>
        <x:v>56.6</x:v>
      </x:c>
      <x:c r="F95" s="96" t="str">
        <x:f>'Source Data'!$AH$33</x:f>
        <x:v>38.6</x:v>
      </x:c>
      <x:c r="G95" s="96" t="str">
        <x:f>'Source Data'!$L$33</x:f>
        <x:v>0.0</x:v>
      </x:c>
    </x:row>
    <x:row r="96" ht="18" customHeight="1">
      <x:c r="A96" s="70" t="str">
        <x:v>Mean administrations by dose</x:v>
      </x:c>
      <x:c r="B96" s="72"/>
      <x:c r="C96" s="72"/>
      <x:c r="D96" s="72"/>
      <x:c r="E96" s="72"/>
      <x:c r="F96" s="72"/>
      <x:c r="G96" s="72"/>
    </x:row>
    <x:row r="97" ht="18" customHeight="1">
      <x:c r="A97" s="80" t="str">
        <x:v>TITE | one-stage</x:v>
      </x:c>
      <x:c r="B97" s="84" t="str">
        <x:f>'Source Data'!$S$8</x:f>
        <x:v>3.426</x:v>
      </x:c>
      <x:c r="C97" s="84" t="str">
        <x:f>'Source Data'!$W$8</x:f>
        <x:v>3.447</x:v>
      </x:c>
      <x:c r="D97" s="84" t="str">
        <x:f>'Source Data'!$AA$8</x:f>
        <x:v>4.449</x:v>
      </x:c>
      <x:c r="E97" s="84" t="str">
        <x:f>'Source Data'!$AE$8</x:f>
        <x:v>12.201</x:v>
      </x:c>
      <x:c r="F97" s="84" t="str">
        <x:f>'Source Data'!$AI$8</x:f>
        <x:v>6.477</x:v>
      </x:c>
      <x:c r="G97" s="82"/>
    </x:row>
    <x:row r="98" ht="18" customHeight="1">
      <x:c r="A98" s="92" t="str">
        <x:v>New non-TITE | one-stage</x:v>
      </x:c>
      <x:c r="B98" s="96" t="str">
        <x:f>'Source Data'!$S$9</x:f>
        <x:v>3.411</x:v>
      </x:c>
      <x:c r="C98" s="96" t="str">
        <x:f>'Source Data'!$W$9</x:f>
        <x:v>3.471</x:v>
      </x:c>
      <x:c r="D98" s="96" t="str">
        <x:f>'Source Data'!$AA$9</x:f>
        <x:v>4.413</x:v>
      </x:c>
      <x:c r="E98" s="96" t="str">
        <x:f>'Source Data'!$AE$9</x:f>
        <x:v>12.264</x:v>
      </x:c>
      <x:c r="F98" s="96" t="str">
        <x:f>'Source Data'!$AI$9</x:f>
        <x:v>6.441</x:v>
      </x:c>
      <x:c r="G98" s="94"/>
    </x:row>
    <x:row r="99" ht="18" customHeight="1">
      <x:c r="A99" s="80" t="str">
        <x:v>TITE | 2-stage highest utility</x:v>
      </x:c>
      <x:c r="B99" s="84" t="str">
        <x:f>'Source Data'!$S$20</x:f>
        <x:v>3.426</x:v>
      </x:c>
      <x:c r="C99" s="84" t="str">
        <x:f>'Source Data'!$W$20</x:f>
        <x:v>3.48</x:v>
      </x:c>
      <x:c r="D99" s="84" t="str">
        <x:f>'Source Data'!$AA$20</x:f>
        <x:v>4.479</x:v>
      </x:c>
      <x:c r="E99" s="84" t="str">
        <x:f>'Source Data'!$AE$20</x:f>
        <x:v>10.644</x:v>
      </x:c>
      <x:c r="F99" s="84" t="str">
        <x:f>'Source Data'!$AI$20</x:f>
        <x:v>7.971</x:v>
      </x:c>
      <x:c r="G99" s="82"/>
    </x:row>
    <x:row r="100" ht="18" customHeight="1">
      <x:c r="A100" s="92" t="str">
        <x:v>New non-TITE | 2-stage highest utility</x:v>
      </x:c>
      <x:c r="B100" s="96" t="str">
        <x:f>'Source Data'!$S$21</x:f>
        <x:v>3.432</x:v>
      </x:c>
      <x:c r="C100" s="96" t="str">
        <x:f>'Source Data'!$W$21</x:f>
        <x:v>3.486</x:v>
      </x:c>
      <x:c r="D100" s="96" t="str">
        <x:f>'Source Data'!$AA$21</x:f>
        <x:v>4.413</x:v>
      </x:c>
      <x:c r="E100" s="96" t="str">
        <x:f>'Source Data'!$AE$21</x:f>
        <x:v>10.608</x:v>
      </x:c>
      <x:c r="F100" s="96" t="str">
        <x:f>'Source Data'!$AI$21</x:f>
        <x:v>8.061</x:v>
      </x:c>
      <x:c r="G100" s="94"/>
    </x:row>
    <x:row r="101" ht="18" customHeight="1">
      <x:c r="A101" s="80" t="str">
        <x:v>TITE | 2-stage top-2 randomized</x:v>
      </x:c>
      <x:c r="B101" s="84" t="str">
        <x:f>'Source Data'!$S$32</x:f>
        <x:v>3.426</x:v>
      </x:c>
      <x:c r="C101" s="84" t="str">
        <x:f>'Source Data'!$W$32</x:f>
        <x:v>3.48</x:v>
      </x:c>
      <x:c r="D101" s="84" t="str">
        <x:f>'Source Data'!$AA$32</x:f>
        <x:v>4.479</x:v>
      </x:c>
      <x:c r="E101" s="84" t="str">
        <x:f>'Source Data'!$AE$32</x:f>
        <x:v>10.644</x:v>
      </x:c>
      <x:c r="F101" s="84" t="str">
        <x:f>'Source Data'!$AI$32</x:f>
        <x:v>7.971</x:v>
      </x:c>
      <x:c r="G101" s="82"/>
    </x:row>
    <x:row r="102" ht="18" customHeight="1">
      <x:c r="A102" s="92" t="str">
        <x:v>New non-TITE | 2-stage top-2 randomized</x:v>
      </x:c>
      <x:c r="B102" s="96" t="str">
        <x:f>'Source Data'!$S$33</x:f>
        <x:v>3.578</x:v>
      </x:c>
      <x:c r="C102" s="96" t="str">
        <x:f>'Source Data'!$W$33</x:f>
        <x:v>3.675</x:v>
      </x:c>
      <x:c r="D102" s="96" t="str">
        <x:f>'Source Data'!$AA$33</x:f>
        <x:v>4.893</x:v>
      </x:c>
      <x:c r="E102" s="96" t="str">
        <x:f>'Source Data'!$AE$33</x:f>
        <x:v>9.434</x:v>
      </x:c>
      <x:c r="F102" s="96" t="str">
        <x:f>'Source Data'!$AI$33</x:f>
        <x:v>8.42</x:v>
      </x:c>
      <x:c r="G102" s="94"/>
    </x:row>
    <x:row r="103" ht="18" customHeight="1">
      <x:c r="A103" s="70" t="str">
        <x:v>Run-level means</x:v>
      </x:c>
      <x:c r="B103" s="72" t="str">
        <x:v>Total admin.</x:v>
      </x:c>
      <x:c r="C103" s="72" t="str">
        <x:v>Unique patients</x:v>
      </x:c>
      <x:c r="D103" s="72" t="str">
        <x:v>Duration days</x:v>
      </x:c>
      <x:c r="E103" s="72"/>
      <x:c r="F103" s="72"/>
      <x:c r="G103" s="72"/>
    </x:row>
    <x:row r="104" ht="18" customHeight="1">
      <x:c r="A104" s="80" t="str">
        <x:v>TITE | one-stage</x:v>
      </x:c>
      <x:c r="B104" s="84" t="str">
        <x:f>'Source Data'!$M$8</x:f>
        <x:v>30.0</x:v>
      </x:c>
      <x:c r="C104" s="84" t="str">
        <x:f>'Source Data'!$N$8</x:f>
        <x:v>19.489</x:v>
      </x:c>
      <x:c r="D104" s="84" t="str">
        <x:f>'Source Data'!$O$8</x:f>
        <x:v>1203.39818630575</x:v>
      </x:c>
      <x:c r="E104" s="82"/>
      <x:c r="F104" s="82"/>
      <x:c r="G104" s="82"/>
    </x:row>
    <x:row r="105" ht="18" customHeight="1">
      <x:c r="A105" s="92" t="str">
        <x:v>New non-TITE | one-stage</x:v>
      </x:c>
      <x:c r="B105" s="96" t="str">
        <x:f>'Source Data'!$M$9</x:f>
        <x:v>30.0</x:v>
      </x:c>
      <x:c r="C105" s="96" t="str">
        <x:f>'Source Data'!$N$9</x:f>
        <x:v>19.565</x:v>
      </x:c>
      <x:c r="D105" s="96" t="str">
        <x:f>'Source Data'!$O$9</x:f>
        <x:v>1080.2598</x:v>
      </x:c>
      <x:c r="E105" s="94"/>
      <x:c r="F105" s="94"/>
      <x:c r="G105" s="94"/>
    </x:row>
    <x:row r="106" ht="18" customHeight="1">
      <x:c r="A106" s="80" t="str">
        <x:v>TITE | 2-stage highest utility</x:v>
      </x:c>
      <x:c r="B106" s="84" t="str">
        <x:f>'Source Data'!$M$20</x:f>
        <x:v>30.0</x:v>
      </x:c>
      <x:c r="C106" s="84" t="str">
        <x:f>'Source Data'!$N$20</x:f>
        <x:v>19.527</x:v>
      </x:c>
      <x:c r="D106" s="84" t="str">
        <x:f>'Source Data'!$O$20</x:f>
        <x:v>1201.29316809362</x:v>
      </x:c>
      <x:c r="E106" s="82"/>
      <x:c r="F106" s="82"/>
      <x:c r="G106" s="82"/>
    </x:row>
    <x:row r="107" ht="18" customHeight="1">
      <x:c r="A107" s="92" t="str">
        <x:v>New non-TITE | 2-stage highest utility</x:v>
      </x:c>
      <x:c r="B107" s="96" t="str">
        <x:f>'Source Data'!$M$21</x:f>
        <x:v>30.0</x:v>
      </x:c>
      <x:c r="C107" s="96" t="str">
        <x:f>'Source Data'!$N$21</x:f>
        <x:v>19.631</x:v>
      </x:c>
      <x:c r="D107" s="96" t="str">
        <x:f>'Source Data'!$O$21</x:f>
        <x:v>1083.2636</x:v>
      </x:c>
      <x:c r="E107" s="94"/>
      <x:c r="F107" s="94"/>
      <x:c r="G107" s="94"/>
    </x:row>
    <x:row r="108" ht="18" customHeight="1">
      <x:c r="A108" s="80" t="str">
        <x:v>TITE | 2-stage top-2 randomized</x:v>
      </x:c>
      <x:c r="B108" s="84" t="str">
        <x:f>'Source Data'!$M$32</x:f>
        <x:v>30.0</x:v>
      </x:c>
      <x:c r="C108" s="84" t="str">
        <x:f>'Source Data'!$N$32</x:f>
        <x:v>19.527</x:v>
      </x:c>
      <x:c r="D108" s="84" t="str">
        <x:f>'Source Data'!$O$32</x:f>
        <x:v>1201.29316809362</x:v>
      </x:c>
      <x:c r="E108" s="82"/>
      <x:c r="F108" s="82"/>
      <x:c r="G108" s="82"/>
    </x:row>
    <x:row r="109" ht="18" customHeight="1">
      <x:c r="A109" s="92" t="str">
        <x:v>New non-TITE | 2-stage top-2 randomized</x:v>
      </x:c>
      <x:c r="B109" s="96" t="str">
        <x:f>'Source Data'!$M$33</x:f>
        <x:v>30.0</x:v>
      </x:c>
      <x:c r="C109" s="96" t="str">
        <x:f>'Source Data'!$N$33</x:f>
        <x:v>19.545</x:v>
      </x:c>
      <x:c r="D109" s="96" t="str">
        <x:f>'Source Data'!$O$33</x:f>
        <x:v>1076.6065</x:v>
      </x:c>
      <x:c r="E109" s="94"/>
      <x:c r="F109" s="94"/>
      <x:c r="G109" s="94"/>
    </x:row>
    <x:row r="112" ht="20" customHeight="1">
      <x:c r="A112" s="58" t="str">
        <x:v>Scenario 27</x:v>
      </x:c>
      <x:c r="B112" s="58"/>
      <x:c r="C112" s="58"/>
      <x:c r="D112" s="58"/>
      <x:c r="E112" s="58"/>
      <x:c r="F112" s="58"/>
      <x:c r="G112" s="58"/>
    </x:row>
    <x:row r="113" ht="18" customHeight="1">
      <x:c r="A113" s="6" t="str">
        <x:v>DLT rate</x:v>
      </x:c>
      <x:c r="B113" s="62" t="str">
        <x:f>'Source Data'!$P$35</x:f>
        <x:v>0.11</x:v>
      </x:c>
      <x:c r="C113" s="62" t="str">
        <x:f>'Source Data'!$T$35</x:f>
        <x:v>0.17</x:v>
      </x:c>
      <x:c r="D113" s="62" t="str">
        <x:f>'Source Data'!$X$35</x:f>
        <x:v>0.3</x:v>
      </x:c>
      <x:c r="E113" s="62" t="str">
        <x:f>'Source Data'!$AB$35</x:f>
        <x:v>0.5</x:v>
      </x:c>
      <x:c r="F113" s="62" t="str">
        <x:f>'Source Data'!$AF$35</x:f>
        <x:v>0.62</x:v>
      </x:c>
      <x:c r="G113" s="60"/>
    </x:row>
    <x:row r="114" ht="18" customHeight="1">
      <x:c r="A114" s="6" t="str">
        <x:v>Efficacy rate</x:v>
      </x:c>
      <x:c r="B114" s="62" t="str">
        <x:f>'Source Data'!$Q$35</x:f>
        <x:v>0.1</x:v>
      </x:c>
      <x:c r="C114" s="62" t="str">
        <x:f>'Source Data'!$U$35</x:f>
        <x:v>0.2</x:v>
      </x:c>
      <x:c r="D114" s="62" t="str">
        <x:f>'Source Data'!$Y$35</x:f>
        <x:v>0.4</x:v>
      </x:c>
      <x:c r="E114" s="62" t="str">
        <x:f>'Source Data'!$AC$35</x:f>
        <x:v>0.42</x:v>
      </x:c>
      <x:c r="F114" s="62" t="str">
        <x:f>'Source Data'!$AG$35</x:f>
        <x:v>0.45</x:v>
      </x:c>
      <x:c r="G114" s="60"/>
    </x:row>
    <x:row r="115" ht="18" customHeight="1">
      <x:c r="A115" s="70" t="str">
        <x:v>OBD selection (%)</x:v>
      </x:c>
      <x:c r="B115" s="72"/>
      <x:c r="C115" s="72"/>
      <x:c r="D115" s="72"/>
      <x:c r="E115" s="72"/>
      <x:c r="F115" s="72"/>
      <x:c r="G115" s="72"/>
    </x:row>
    <x:row r="116" ht="18" customHeight="1">
      <x:c r="A116" s="80" t="str">
        <x:v>TITE | one-stage</x:v>
      </x:c>
      <x:c r="B116" s="84" t="str">
        <x:f>'Source Data'!$R$10</x:f>
        <x:v>13.0</x:v>
      </x:c>
      <x:c r="C116" s="84" t="str">
        <x:f>'Source Data'!$V$10</x:f>
        <x:v>26.5</x:v>
      </x:c>
      <x:c r="D116" s="84" t="str">
        <x:f>'Source Data'!$Z$10</x:f>
        <x:v>45.5</x:v>
      </x:c>
      <x:c r="E116" s="84" t="str">
        <x:f>'Source Data'!$AD$10</x:f>
        <x:v>9.3</x:v>
      </x:c>
      <x:c r="F116" s="84" t="str">
        <x:f>'Source Data'!$AH$10</x:f>
        <x:v>0.6</x:v>
      </x:c>
      <x:c r="G116" s="84" t="str">
        <x:f>'Source Data'!$L$10</x:f>
        <x:v>5.1000000000000085</x:v>
      </x:c>
    </x:row>
    <x:row r="117" ht="18" customHeight="1">
      <x:c r="A117" s="92" t="str">
        <x:v>New non-TITE | one-stage</x:v>
      </x:c>
      <x:c r="B117" s="96" t="str">
        <x:f>'Source Data'!$R$11</x:f>
        <x:v>16.3</x:v>
      </x:c>
      <x:c r="C117" s="96" t="str">
        <x:f>'Source Data'!$V$11</x:f>
        <x:v>21.2</x:v>
      </x:c>
      <x:c r="D117" s="96" t="str">
        <x:f>'Source Data'!$Z$11</x:f>
        <x:v>44.7</x:v>
      </x:c>
      <x:c r="E117" s="96" t="str">
        <x:f>'Source Data'!$AD$11</x:f>
        <x:v>11.3</x:v>
      </x:c>
      <x:c r="F117" s="96" t="str">
        <x:f>'Source Data'!$AH$11</x:f>
        <x:v>0.7</x:v>
      </x:c>
      <x:c r="G117" s="96" t="str">
        <x:f>'Source Data'!$L$11</x:f>
        <x:v>5.8</x:v>
      </x:c>
    </x:row>
    <x:row r="118" ht="18" customHeight="1">
      <x:c r="A118" s="80" t="str">
        <x:v>TITE | 2-stage highest utility</x:v>
      </x:c>
      <x:c r="B118" s="84" t="str">
        <x:f>'Source Data'!$R$22</x:f>
        <x:v>16.4</x:v>
      </x:c>
      <x:c r="C118" s="84" t="str">
        <x:f>'Source Data'!$V$22</x:f>
        <x:v>27.8</x:v>
      </x:c>
      <x:c r="D118" s="84" t="str">
        <x:f>'Source Data'!$Z$22</x:f>
        <x:v>42.4</x:v>
      </x:c>
      <x:c r="E118" s="84" t="str">
        <x:f>'Source Data'!$AD$22</x:f>
        <x:v>6.8</x:v>
      </x:c>
      <x:c r="F118" s="84" t="str">
        <x:f>'Source Data'!$AH$22</x:f>
        <x:v>0.5</x:v>
      </x:c>
      <x:c r="G118" s="84" t="str">
        <x:f>'Source Data'!$L$22</x:f>
        <x:v>6.1000000000000085</x:v>
      </x:c>
    </x:row>
    <x:row r="119" ht="18" customHeight="1">
      <x:c r="A119" s="92" t="str">
        <x:v>New non-TITE | 2-stage highest utility</x:v>
      </x:c>
      <x:c r="B119" s="96" t="str">
        <x:f>'Source Data'!$R$23</x:f>
        <x:v>16.3</x:v>
      </x:c>
      <x:c r="C119" s="96" t="str">
        <x:f>'Source Data'!$V$23</x:f>
        <x:v>23.9</x:v>
      </x:c>
      <x:c r="D119" s="96" t="str">
        <x:f>'Source Data'!$Z$23</x:f>
        <x:v>44.0</x:v>
      </x:c>
      <x:c r="E119" s="96" t="str">
        <x:f>'Source Data'!$AD$23</x:f>
        <x:v>8.4</x:v>
      </x:c>
      <x:c r="F119" s="96" t="str">
        <x:f>'Source Data'!$AH$23</x:f>
        <x:v>0.9</x:v>
      </x:c>
      <x:c r="G119" s="96" t="str">
        <x:f>'Source Data'!$L$23</x:f>
        <x:v>6.5</x:v>
      </x:c>
    </x:row>
    <x:row r="120" ht="18" customHeight="1">
      <x:c r="A120" s="80" t="str">
        <x:v>TITE | 2-stage top-2 randomized</x:v>
      </x:c>
      <x:c r="B120" s="84" t="str">
        <x:f>'Source Data'!$R$34</x:f>
        <x:v>16.4</x:v>
      </x:c>
      <x:c r="C120" s="84" t="str">
        <x:f>'Source Data'!$V$34</x:f>
        <x:v>27.8</x:v>
      </x:c>
      <x:c r="D120" s="84" t="str">
        <x:f>'Source Data'!$Z$34</x:f>
        <x:v>42.4</x:v>
      </x:c>
      <x:c r="E120" s="84" t="str">
        <x:f>'Source Data'!$AD$34</x:f>
        <x:v>6.8</x:v>
      </x:c>
      <x:c r="F120" s="84" t="str">
        <x:f>'Source Data'!$AH$34</x:f>
        <x:v>0.5</x:v>
      </x:c>
      <x:c r="G120" s="84" t="str">
        <x:f>'Source Data'!$L$34</x:f>
        <x:v>6.1000000000000085</x:v>
      </x:c>
    </x:row>
    <x:row r="121" ht="18" customHeight="1">
      <x:c r="A121" s="92" t="str">
        <x:v>New non-TITE | 2-stage top-2 randomized</x:v>
      </x:c>
      <x:c r="B121" s="96" t="str">
        <x:f>'Source Data'!$R$35</x:f>
        <x:v>10.5</x:v>
      </x:c>
      <x:c r="C121" s="96" t="str">
        <x:f>'Source Data'!$V$35</x:f>
        <x:v>23.6</x:v>
      </x:c>
      <x:c r="D121" s="96" t="str">
        <x:f>'Source Data'!$Z$35</x:f>
        <x:v>46.6</x:v>
      </x:c>
      <x:c r="E121" s="96" t="str">
        <x:f>'Source Data'!$AD$35</x:f>
        <x:v>12.5</x:v>
      </x:c>
      <x:c r="F121" s="96" t="str">
        <x:f>'Source Data'!$AH$35</x:f>
        <x:v>1.1</x:v>
      </x:c>
      <x:c r="G121" s="96" t="str">
        <x:f>'Source Data'!$L$35</x:f>
        <x:v>5.7</x:v>
      </x:c>
    </x:row>
    <x:row r="122" ht="18" customHeight="1">
      <x:c r="A122" s="70" t="str">
        <x:v>Mean administrations by dose</x:v>
      </x:c>
      <x:c r="B122" s="72"/>
      <x:c r="C122" s="72"/>
      <x:c r="D122" s="72"/>
      <x:c r="E122" s="72"/>
      <x:c r="F122" s="72"/>
      <x:c r="G122" s="72"/>
    </x:row>
    <x:row r="123" ht="18" customHeight="1">
      <x:c r="A123" s="80" t="str">
        <x:v>TITE | one-stage</x:v>
      </x:c>
      <x:c r="B123" s="84" t="str">
        <x:f>'Source Data'!$S$10</x:f>
        <x:v>6.816</x:v>
      </x:c>
      <x:c r="C123" s="84" t="str">
        <x:f>'Source Data'!$W$10</x:f>
        <x:v>8.013</x:v>
      </x:c>
      <x:c r="D123" s="84" t="str">
        <x:f>'Source Data'!$AA$10</x:f>
        <x:v>9.816</x:v>
      </x:c>
      <x:c r="E123" s="84" t="str">
        <x:f>'Source Data'!$AE$10</x:f>
        <x:v>3.912</x:v>
      </x:c>
      <x:c r="F123" s="84" t="str">
        <x:f>'Source Data'!$AI$10</x:f>
        <x:v>0.618</x:v>
      </x:c>
      <x:c r="G123" s="82"/>
    </x:row>
    <x:row r="124" ht="18" customHeight="1">
      <x:c r="A124" s="92" t="str">
        <x:v>New non-TITE | one-stage</x:v>
      </x:c>
      <x:c r="B124" s="96" t="str">
        <x:f>'Source Data'!$S$11</x:f>
        <x:v>7.131</x:v>
      </x:c>
      <x:c r="C124" s="96" t="str">
        <x:f>'Source Data'!$W$11</x:f>
        <x:v>7.875</x:v>
      </x:c>
      <x:c r="D124" s="96" t="str">
        <x:f>'Source Data'!$AA$11</x:f>
        <x:v>9.951</x:v>
      </x:c>
      <x:c r="E124" s="96" t="str">
        <x:f>'Source Data'!$AE$11</x:f>
        <x:v>3.582</x:v>
      </x:c>
      <x:c r="F124" s="96" t="str">
        <x:f>'Source Data'!$AI$11</x:f>
        <x:v>0.651</x:v>
      </x:c>
      <x:c r="G124" s="94"/>
    </x:row>
    <x:row r="125" ht="18" customHeight="1">
      <x:c r="A125" s="80" t="str">
        <x:v>TITE | 2-stage highest utility</x:v>
      </x:c>
      <x:c r="B125" s="84" t="str">
        <x:f>'Source Data'!$S$22</x:f>
        <x:v>7.704</x:v>
      </x:c>
      <x:c r="C125" s="84" t="str">
        <x:f>'Source Data'!$W$22</x:f>
        <x:v>8.235</x:v>
      </x:c>
      <x:c r="D125" s="84" t="str">
        <x:f>'Source Data'!$AA$22</x:f>
        <x:v>9.018</x:v>
      </x:c>
      <x:c r="E125" s="84" t="str">
        <x:f>'Source Data'!$AE$22</x:f>
        <x:v>3.324</x:v>
      </x:c>
      <x:c r="F125" s="84" t="str">
        <x:f>'Source Data'!$AI$22</x:f>
        <x:v>0.876</x:v>
      </x:c>
      <x:c r="G125" s="82"/>
    </x:row>
    <x:row r="126" ht="18" customHeight="1">
      <x:c r="A126" s="92" t="str">
        <x:v>New non-TITE | 2-stage highest utility</x:v>
      </x:c>
      <x:c r="B126" s="96" t="str">
        <x:f>'Source Data'!$S$23</x:f>
        <x:v>7.695</x:v>
      </x:c>
      <x:c r="C126" s="96" t="str">
        <x:f>'Source Data'!$W$23</x:f>
        <x:v>7.926</x:v>
      </x:c>
      <x:c r="D126" s="96" t="str">
        <x:f>'Source Data'!$AA$23</x:f>
        <x:v>9.432</x:v>
      </x:c>
      <x:c r="E126" s="96" t="str">
        <x:f>'Source Data'!$AE$23</x:f>
        <x:v>3.174</x:v>
      </x:c>
      <x:c r="F126" s="96" t="str">
        <x:f>'Source Data'!$AI$23</x:f>
        <x:v>0.924</x:v>
      </x:c>
      <x:c r="G126" s="94"/>
    </x:row>
    <x:row r="127" ht="18" customHeight="1">
      <x:c r="A127" s="80" t="str">
        <x:v>TITE | 2-stage top-2 randomized</x:v>
      </x:c>
      <x:c r="B127" s="84" t="str">
        <x:f>'Source Data'!$S$34</x:f>
        <x:v>7.704</x:v>
      </x:c>
      <x:c r="C127" s="84" t="str">
        <x:f>'Source Data'!$W$34</x:f>
        <x:v>8.235</x:v>
      </x:c>
      <x:c r="D127" s="84" t="str">
        <x:f>'Source Data'!$AA$34</x:f>
        <x:v>9.018</x:v>
      </x:c>
      <x:c r="E127" s="84" t="str">
        <x:f>'Source Data'!$AE$34</x:f>
        <x:v>3.324</x:v>
      </x:c>
      <x:c r="F127" s="84" t="str">
        <x:f>'Source Data'!$AI$34</x:f>
        <x:v>0.876</x:v>
      </x:c>
      <x:c r="G127" s="82"/>
    </x:row>
    <x:row r="128" ht="18" customHeight="1">
      <x:c r="A128" s="92" t="str">
        <x:v>New non-TITE | 2-stage top-2 randomized</x:v>
      </x:c>
      <x:c r="B128" s="96" t="str">
        <x:f>'Source Data'!$S$35</x:f>
        <x:v>7.443</x:v>
      </x:c>
      <x:c r="C128" s="96" t="str">
        <x:f>'Source Data'!$W$35</x:f>
        <x:v>8.201</x:v>
      </x:c>
      <x:c r="D128" s="96" t="str">
        <x:f>'Source Data'!$AA$35</x:f>
        <x:v>8.446</x:v>
      </x:c>
      <x:c r="E128" s="96" t="str">
        <x:f>'Source Data'!$AE$35</x:f>
        <x:v>4.016</x:v>
      </x:c>
      <x:c r="F128" s="96" t="str">
        <x:f>'Source Data'!$AI$35</x:f>
        <x:v>1.078</x:v>
      </x:c>
      <x:c r="G128" s="94"/>
    </x:row>
    <x:row r="129" ht="18" customHeight="1">
      <x:c r="A129" s="70" t="str">
        <x:v>Run-level means</x:v>
      </x:c>
      <x:c r="B129" s="72" t="str">
        <x:v>Total admin.</x:v>
      </x:c>
      <x:c r="C129" s="72" t="str">
        <x:v>Unique patients</x:v>
      </x:c>
      <x:c r="D129" s="72" t="str">
        <x:v>Duration days</x:v>
      </x:c>
      <x:c r="E129" s="72"/>
      <x:c r="F129" s="72"/>
      <x:c r="G129" s="72"/>
    </x:row>
    <x:row r="130" ht="18" customHeight="1">
      <x:c r="A130" s="80" t="str">
        <x:v>TITE | one-stage</x:v>
      </x:c>
      <x:c r="B130" s="84" t="str">
        <x:f>'Source Data'!$M$10</x:f>
        <x:v>29.175</x:v>
      </x:c>
      <x:c r="C130" s="84" t="str">
        <x:f>'Source Data'!$N$10</x:f>
        <x:v>19.27</x:v>
      </x:c>
      <x:c r="D130" s="84" t="str">
        <x:f>'Source Data'!$O$10</x:f>
        <x:v>1131.08300482828</x:v>
      </x:c>
      <x:c r="E130" s="82"/>
      <x:c r="F130" s="82"/>
      <x:c r="G130" s="82"/>
    </x:row>
    <x:row r="131" ht="18" customHeight="1">
      <x:c r="A131" s="92" t="str">
        <x:v>New non-TITE | one-stage</x:v>
      </x:c>
      <x:c r="B131" s="96" t="str">
        <x:f>'Source Data'!$M$11</x:f>
        <x:v>29.19</x:v>
      </x:c>
      <x:c r="C131" s="96" t="str">
        <x:f>'Source Data'!$N$11</x:f>
        <x:v>19.395</x:v>
      </x:c>
      <x:c r="D131" s="96" t="str">
        <x:f>'Source Data'!$O$11</x:f>
        <x:v>1064.7973</x:v>
      </x:c>
      <x:c r="E131" s="94"/>
      <x:c r="F131" s="94"/>
      <x:c r="G131" s="94"/>
    </x:row>
    <x:row r="132" ht="18" customHeight="1">
      <x:c r="A132" s="80" t="str">
        <x:v>TITE | 2-stage highest utility</x:v>
      </x:c>
      <x:c r="B132" s="84" t="str">
        <x:f>'Source Data'!$M$22</x:f>
        <x:v>29.157</x:v>
      </x:c>
      <x:c r="C132" s="84" t="str">
        <x:f>'Source Data'!$N$22</x:f>
        <x:v>19.149</x:v>
      </x:c>
      <x:c r="D132" s="84" t="str">
        <x:f>'Source Data'!$O$22</x:f>
        <x:v>1115.47639196044</x:v>
      </x:c>
      <x:c r="E132" s="82"/>
      <x:c r="F132" s="82"/>
      <x:c r="G132" s="82"/>
    </x:row>
    <x:row r="133" ht="18" customHeight="1">
      <x:c r="A133" s="92" t="str">
        <x:v>New non-TITE | 2-stage highest utility</x:v>
      </x:c>
      <x:c r="B133" s="96" t="str">
        <x:f>'Source Data'!$M$23</x:f>
        <x:v>29.151</x:v>
      </x:c>
      <x:c r="C133" s="96" t="str">
        <x:f>'Source Data'!$N$23</x:f>
        <x:v>19.365</x:v>
      </x:c>
      <x:c r="D133" s="96" t="str">
        <x:f>'Source Data'!$O$23</x:f>
        <x:v>1065.1846</x:v>
      </x:c>
      <x:c r="E133" s="94"/>
      <x:c r="F133" s="94"/>
      <x:c r="G133" s="94"/>
    </x:row>
    <x:row r="134" ht="18" customHeight="1">
      <x:c r="A134" s="80" t="str">
        <x:v>TITE | 2-stage top-2 randomized</x:v>
      </x:c>
      <x:c r="B134" s="84" t="str">
        <x:f>'Source Data'!$M$34</x:f>
        <x:v>29.157</x:v>
      </x:c>
      <x:c r="C134" s="84" t="str">
        <x:f>'Source Data'!$N$34</x:f>
        <x:v>19.149</x:v>
      </x:c>
      <x:c r="D134" s="84" t="str">
        <x:f>'Source Data'!$O$34</x:f>
        <x:v>1115.47639196044</x:v>
      </x:c>
      <x:c r="E134" s="82"/>
      <x:c r="F134" s="82"/>
      <x:c r="G134" s="82"/>
    </x:row>
    <x:row r="135" ht="18" customHeight="1">
      <x:c r="A135" s="92" t="str">
        <x:v>New non-TITE | 2-stage top-2 randomized</x:v>
      </x:c>
      <x:c r="B135" s="96" t="str">
        <x:f>'Source Data'!$M$35</x:f>
        <x:v>29.184</x:v>
      </x:c>
      <x:c r="C135" s="96" t="str">
        <x:f>'Source Data'!$N$35</x:f>
        <x:v>19.451</x:v>
      </x:c>
      <x:c r="D135" s="96" t="str">
        <x:f>'Source Data'!$O$35</x:f>
        <x:v>1070.9197</x:v>
      </x:c>
      <x:c r="E135" s="94"/>
      <x:c r="F135" s="94"/>
      <x:c r="G135" s="94"/>
    </x:row>
    <x:row r="138" ht="20" customHeight="1">
      <x:c r="A138" s="58" t="str">
        <x:v>Scenario 38</x:v>
      </x:c>
      <x:c r="B138" s="58"/>
      <x:c r="C138" s="58"/>
      <x:c r="D138" s="58"/>
      <x:c r="E138" s="58"/>
      <x:c r="F138" s="58"/>
      <x:c r="G138" s="58"/>
    </x:row>
    <x:row r="139" ht="18" customHeight="1">
      <x:c r="A139" s="6" t="str">
        <x:v>DLT rate</x:v>
      </x:c>
      <x:c r="B139" s="62" t="str">
        <x:f>'Source Data'!$P$37</x:f>
        <x:v>0.05</x:v>
      </x:c>
      <x:c r="C139" s="62" t="str">
        <x:f>'Source Data'!$T$37</x:f>
        <x:v>0.1</x:v>
      </x:c>
      <x:c r="D139" s="62" t="str">
        <x:f>'Source Data'!$X$37</x:f>
        <x:v>0.12</x:v>
      </x:c>
      <x:c r="E139" s="62" t="str">
        <x:f>'Source Data'!$AB$37</x:f>
        <x:v>0.15</x:v>
      </x:c>
      <x:c r="F139" s="62" t="str">
        <x:f>'Source Data'!$AF$37</x:f>
        <x:v>0.3</x:v>
      </x:c>
      <x:c r="G139" s="60"/>
    </x:row>
    <x:row r="140" ht="18" customHeight="1">
      <x:c r="A140" s="6" t="str">
        <x:v>Efficacy rate</x:v>
      </x:c>
      <x:c r="B140" s="62" t="str">
        <x:f>'Source Data'!$Q$37</x:f>
        <x:v>0.05</x:v>
      </x:c>
      <x:c r="C140" s="62" t="str">
        <x:f>'Source Data'!$U$37</x:f>
        <x:v>0.08</x:v>
      </x:c>
      <x:c r="D140" s="62" t="str">
        <x:f>'Source Data'!$Y$37</x:f>
        <x:v>0.12</x:v>
      </x:c>
      <x:c r="E140" s="62" t="str">
        <x:f>'Source Data'!$AC$37</x:f>
        <x:v>0.15</x:v>
      </x:c>
      <x:c r="F140" s="62" t="str">
        <x:f>'Source Data'!$AG$37</x:f>
        <x:v>0.5</x:v>
      </x:c>
      <x:c r="G140" s="60"/>
    </x:row>
    <x:row r="141" ht="18" customHeight="1">
      <x:c r="A141" s="70" t="str">
        <x:v>OBD selection (%)</x:v>
      </x:c>
      <x:c r="B141" s="72"/>
      <x:c r="C141" s="72"/>
      <x:c r="D141" s="72"/>
      <x:c r="E141" s="72"/>
      <x:c r="F141" s="72"/>
      <x:c r="G141" s="72"/>
    </x:row>
    <x:row r="142" ht="18" customHeight="1">
      <x:c r="A142" s="80" t="str">
        <x:v>TITE | one-stage</x:v>
      </x:c>
      <x:c r="B142" s="84" t="str">
        <x:f>'Source Data'!$R$12</x:f>
        <x:v>13.9</x:v>
      </x:c>
      <x:c r="C142" s="84" t="str">
        <x:f>'Source Data'!$V$12</x:f>
        <x:v>10.3</x:v>
      </x:c>
      <x:c r="D142" s="84" t="str">
        <x:f>'Source Data'!$Z$12</x:f>
        <x:v>7.8</x:v>
      </x:c>
      <x:c r="E142" s="84" t="str">
        <x:f>'Source Data'!$AD$12</x:f>
        <x:v>8.2</x:v>
      </x:c>
      <x:c r="F142" s="84" t="str">
        <x:f>'Source Data'!$AH$12</x:f>
        <x:v>58.5</x:v>
      </x:c>
      <x:c r="G142" s="84" t="str">
        <x:f>'Source Data'!$L$12</x:f>
        <x:v>1.2999999999999972</x:v>
      </x:c>
    </x:row>
    <x:row r="143" ht="18" customHeight="1">
      <x:c r="A143" s="92" t="str">
        <x:v>New non-TITE | one-stage</x:v>
      </x:c>
      <x:c r="B143" s="96" t="str">
        <x:f>'Source Data'!$R$13</x:f>
        <x:v>13.8</x:v>
      </x:c>
      <x:c r="C143" s="96" t="str">
        <x:f>'Source Data'!$V$13</x:f>
        <x:v>7.2</x:v>
      </x:c>
      <x:c r="D143" s="96" t="str">
        <x:f>'Source Data'!$Z$13</x:f>
        <x:v>6.8</x:v>
      </x:c>
      <x:c r="E143" s="96" t="str">
        <x:f>'Source Data'!$AD$13</x:f>
        <x:v>7.8</x:v>
      </x:c>
      <x:c r="F143" s="96" t="str">
        <x:f>'Source Data'!$AH$13</x:f>
        <x:v>63.5</x:v>
      </x:c>
      <x:c r="G143" s="96" t="str">
        <x:f>'Source Data'!$L$13</x:f>
        <x:v>0.9</x:v>
      </x:c>
    </x:row>
    <x:row r="144" ht="18" customHeight="1">
      <x:c r="A144" s="80" t="str">
        <x:v>TITE | 2-stage highest utility</x:v>
      </x:c>
      <x:c r="B144" s="84" t="str">
        <x:f>'Source Data'!$R$24</x:f>
        <x:v>17.2</x:v>
      </x:c>
      <x:c r="C144" s="84" t="str">
        <x:f>'Source Data'!$V$24</x:f>
        <x:v>10.0</x:v>
      </x:c>
      <x:c r="D144" s="84" t="str">
        <x:f>'Source Data'!$Z$24</x:f>
        <x:v>8.9</x:v>
      </x:c>
      <x:c r="E144" s="84" t="str">
        <x:f>'Source Data'!$AD$24</x:f>
        <x:v>8.9</x:v>
      </x:c>
      <x:c r="F144" s="84" t="str">
        <x:f>'Source Data'!$AH$24</x:f>
        <x:v>53.5</x:v>
      </x:c>
      <x:c r="G144" s="84" t="str">
        <x:f>'Source Data'!$L$24</x:f>
        <x:v>1.5</x:v>
      </x:c>
    </x:row>
    <x:row r="145" ht="18" customHeight="1">
      <x:c r="A145" s="92" t="str">
        <x:v>New non-TITE | 2-stage highest utility</x:v>
      </x:c>
      <x:c r="B145" s="96" t="str">
        <x:f>'Source Data'!$R$25</x:f>
        <x:v>17.9</x:v>
      </x:c>
      <x:c r="C145" s="96" t="str">
        <x:f>'Source Data'!$V$25</x:f>
        <x:v>10.0</x:v>
      </x:c>
      <x:c r="D145" s="96" t="str">
        <x:f>'Source Data'!$Z$25</x:f>
        <x:v>7.3</x:v>
      </x:c>
      <x:c r="E145" s="96" t="str">
        <x:f>'Source Data'!$AD$25</x:f>
        <x:v>7.5</x:v>
      </x:c>
      <x:c r="F145" s="96" t="str">
        <x:f>'Source Data'!$AH$25</x:f>
        <x:v>56.0</x:v>
      </x:c>
      <x:c r="G145" s="96" t="str">
        <x:f>'Source Data'!$L$25</x:f>
        <x:v>1.3</x:v>
      </x:c>
    </x:row>
    <x:row r="146" ht="18" customHeight="1">
      <x:c r="A146" s="80" t="str">
        <x:v>TITE | 2-stage top-2 randomized</x:v>
      </x:c>
      <x:c r="B146" s="84" t="str">
        <x:f>'Source Data'!$R$36</x:f>
        <x:v>17.2</x:v>
      </x:c>
      <x:c r="C146" s="84" t="str">
        <x:f>'Source Data'!$V$36</x:f>
        <x:v>10.0</x:v>
      </x:c>
      <x:c r="D146" s="84" t="str">
        <x:f>'Source Data'!$Z$36</x:f>
        <x:v>8.9</x:v>
      </x:c>
      <x:c r="E146" s="84" t="str">
        <x:f>'Source Data'!$AD$36</x:f>
        <x:v>8.9</x:v>
      </x:c>
      <x:c r="F146" s="84" t="str">
        <x:f>'Source Data'!$AH$36</x:f>
        <x:v>53.5</x:v>
      </x:c>
      <x:c r="G146" s="84" t="str">
        <x:f>'Source Data'!$L$36</x:f>
        <x:v>1.5</x:v>
      </x:c>
    </x:row>
    <x:row r="147" ht="18" customHeight="1">
      <x:c r="A147" s="92" t="str">
        <x:v>New non-TITE | 2-stage top-2 randomized</x:v>
      </x:c>
      <x:c r="B147" s="96" t="str">
        <x:f>'Source Data'!$R$37</x:f>
        <x:v>11.7</x:v>
      </x:c>
      <x:c r="C147" s="96" t="str">
        <x:f>'Source Data'!$V$37</x:f>
        <x:v>6.0</x:v>
      </x:c>
      <x:c r="D147" s="96" t="str">
        <x:f>'Source Data'!$Z$37</x:f>
        <x:v>5.5</x:v>
      </x:c>
      <x:c r="E147" s="96" t="str">
        <x:f>'Source Data'!$AD$37</x:f>
        <x:v>8.5</x:v>
      </x:c>
      <x:c r="F147" s="96" t="str">
        <x:f>'Source Data'!$AH$37</x:f>
        <x:v>67.3</x:v>
      </x:c>
      <x:c r="G147" s="96" t="str">
        <x:f>'Source Data'!$L$37</x:f>
        <x:v>1.0</x:v>
      </x:c>
    </x:row>
    <x:row r="148" ht="18" customHeight="1">
      <x:c r="A148" s="70" t="str">
        <x:v>Mean administrations by dose</x:v>
      </x:c>
      <x:c r="B148" s="72"/>
      <x:c r="C148" s="72"/>
      <x:c r="D148" s="72"/>
      <x:c r="E148" s="72"/>
      <x:c r="F148" s="72"/>
      <x:c r="G148" s="72"/>
    </x:row>
    <x:row r="149" ht="18" customHeight="1">
      <x:c r="A149" s="80" t="str">
        <x:v>TITE | one-stage</x:v>
      </x:c>
      <x:c r="B149" s="84" t="str">
        <x:f>'Source Data'!$S$12</x:f>
        <x:v>4.638</x:v>
      </x:c>
      <x:c r="C149" s="84" t="str">
        <x:f>'Source Data'!$W$12</x:f>
        <x:v>4.761</x:v>
      </x:c>
      <x:c r="D149" s="84" t="str">
        <x:f>'Source Data'!$AA$12</x:f>
        <x:v>5.028</x:v>
      </x:c>
      <x:c r="E149" s="84" t="str">
        <x:f>'Source Data'!$AE$12</x:f>
        <x:v>5.565</x:v>
      </x:c>
      <x:c r="F149" s="84" t="str">
        <x:f>'Source Data'!$AI$12</x:f>
        <x:v>9.846</x:v>
      </x:c>
      <x:c r="G149" s="82"/>
    </x:row>
    <x:row r="150" ht="18" customHeight="1">
      <x:c r="A150" s="92" t="str">
        <x:v>New non-TITE | one-stage</x:v>
      </x:c>
      <x:c r="B150" s="96" t="str">
        <x:f>'Source Data'!$S$13</x:f>
        <x:v>4.557</x:v>
      </x:c>
      <x:c r="C150" s="96" t="str">
        <x:f>'Source Data'!$W$13</x:f>
        <x:v>4.557</x:v>
      </x:c>
      <x:c r="D150" s="96" t="str">
        <x:f>'Source Data'!$AA$13</x:f>
        <x:v>4.989</x:v>
      </x:c>
      <x:c r="E150" s="96" t="str">
        <x:f>'Source Data'!$AE$13</x:f>
        <x:v>5.316</x:v>
      </x:c>
      <x:c r="F150" s="96" t="str">
        <x:f>'Source Data'!$AI$13</x:f>
        <x:v>10.437</x:v>
      </x:c>
      <x:c r="G150" s="94"/>
    </x:row>
    <x:row r="151" ht="18" customHeight="1">
      <x:c r="A151" s="80" t="str">
        <x:v>TITE | 2-stage highest utility</x:v>
      </x:c>
      <x:c r="B151" s="84" t="str">
        <x:f>'Source Data'!$S$24</x:f>
        <x:v>4.923</x:v>
      </x:c>
      <x:c r="C151" s="84" t="str">
        <x:f>'Source Data'!$W$24</x:f>
        <x:v>5.034</x:v>
      </x:c>
      <x:c r="D151" s="84" t="str">
        <x:f>'Source Data'!$AA$24</x:f>
        <x:v>5.526</x:v>
      </x:c>
      <x:c r="E151" s="84" t="str">
        <x:f>'Source Data'!$AE$24</x:f>
        <x:v>5.358</x:v>
      </x:c>
      <x:c r="F151" s="84" t="str">
        <x:f>'Source Data'!$AI$24</x:f>
        <x:v>8.991</x:v>
      </x:c>
      <x:c r="G151" s="82"/>
    </x:row>
    <x:row r="152" ht="18" customHeight="1">
      <x:c r="A152" s="92" t="str">
        <x:v>New non-TITE | 2-stage highest utility</x:v>
      </x:c>
      <x:c r="B152" s="96" t="str">
        <x:f>'Source Data'!$S$25</x:f>
        <x:v>4.839</x:v>
      </x:c>
      <x:c r="C152" s="96" t="str">
        <x:f>'Source Data'!$W$25</x:f>
        <x:v>4.668</x:v>
      </x:c>
      <x:c r="D152" s="96" t="str">
        <x:f>'Source Data'!$AA$25</x:f>
        <x:v>5.325</x:v>
      </x:c>
      <x:c r="E152" s="96" t="str">
        <x:f>'Source Data'!$AE$25</x:f>
        <x:v>5.415</x:v>
      </x:c>
      <x:c r="F152" s="96" t="str">
        <x:f>'Source Data'!$AI$25</x:f>
        <x:v>9.597</x:v>
      </x:c>
      <x:c r="G152" s="94"/>
    </x:row>
    <x:row r="153" ht="18" customHeight="1">
      <x:c r="A153" s="80" t="str">
        <x:v>TITE | 2-stage top-2 randomized</x:v>
      </x:c>
      <x:c r="B153" s="84" t="str">
        <x:f>'Source Data'!$S$36</x:f>
        <x:v>4.923</x:v>
      </x:c>
      <x:c r="C153" s="84" t="str">
        <x:f>'Source Data'!$W$36</x:f>
        <x:v>5.034</x:v>
      </x:c>
      <x:c r="D153" s="84" t="str">
        <x:f>'Source Data'!$AA$36</x:f>
        <x:v>5.526</x:v>
      </x:c>
      <x:c r="E153" s="84" t="str">
        <x:f>'Source Data'!$AE$36</x:f>
        <x:v>5.358</x:v>
      </x:c>
      <x:c r="F153" s="84" t="str">
        <x:f>'Source Data'!$AI$36</x:f>
        <x:v>8.991</x:v>
      </x:c>
      <x:c r="G153" s="82"/>
    </x:row>
    <x:row r="154" ht="18" customHeight="1">
      <x:c r="A154" s="92" t="str">
        <x:v>New non-TITE | 2-stage top-2 randomized</x:v>
      </x:c>
      <x:c r="B154" s="96" t="str">
        <x:f>'Source Data'!$S$37</x:f>
        <x:v>4.711</x:v>
      </x:c>
      <x:c r="C154" s="96" t="str">
        <x:f>'Source Data'!$W$37</x:f>
        <x:v>4.795</x:v>
      </x:c>
      <x:c r="D154" s="96" t="str">
        <x:f>'Source Data'!$AA$37</x:f>
        <x:v>5.288</x:v>
      </x:c>
      <x:c r="E154" s="96" t="str">
        <x:f>'Source Data'!$AE$37</x:f>
        <x:v>6.886</x:v>
      </x:c>
      <x:c r="F154" s="96" t="str">
        <x:f>'Source Data'!$AI$37</x:f>
        <x:v>8.164</x:v>
      </x:c>
      <x:c r="G154" s="94"/>
    </x:row>
    <x:row r="155" ht="18" customHeight="1">
      <x:c r="A155" s="70" t="str">
        <x:v>Run-level means</x:v>
      </x:c>
      <x:c r="B155" s="72" t="str">
        <x:v>Total admin.</x:v>
      </x:c>
      <x:c r="C155" s="72" t="str">
        <x:v>Unique patients</x:v>
      </x:c>
      <x:c r="D155" s="72" t="str">
        <x:v>Duration days</x:v>
      </x:c>
      <x:c r="E155" s="72"/>
      <x:c r="F155" s="72"/>
      <x:c r="G155" s="72"/>
    </x:row>
    <x:row r="156" ht="18" customHeight="1">
      <x:c r="A156" s="80" t="str">
        <x:v>TITE | one-stage</x:v>
      </x:c>
      <x:c r="B156" s="84" t="str">
        <x:f>'Source Data'!$M$12</x:f>
        <x:v>29.838</x:v>
      </x:c>
      <x:c r="C156" s="84" t="str">
        <x:f>'Source Data'!$N$12</x:f>
        <x:v>18.614</x:v>
      </x:c>
      <x:c r="D156" s="84" t="str">
        <x:f>'Source Data'!$O$12</x:f>
        <x:v>1130.58836377537</x:v>
      </x:c>
      <x:c r="E156" s="82"/>
      <x:c r="F156" s="82"/>
      <x:c r="G156" s="82"/>
    </x:row>
    <x:row r="157" ht="18" customHeight="1">
      <x:c r="A157" s="92" t="str">
        <x:v>New non-TITE | one-stage</x:v>
      </x:c>
      <x:c r="B157" s="96" t="str">
        <x:f>'Source Data'!$M$13</x:f>
        <x:v>29.856</x:v>
      </x:c>
      <x:c r="C157" s="96" t="str">
        <x:f>'Source Data'!$N$13</x:f>
        <x:v>18.891</x:v>
      </x:c>
      <x:c r="D157" s="96" t="str">
        <x:f>'Source Data'!$O$13</x:f>
        <x:v>1040.6256</x:v>
      </x:c>
      <x:c r="E157" s="94"/>
      <x:c r="F157" s="94"/>
      <x:c r="G157" s="94"/>
    </x:row>
    <x:row r="158" ht="18" customHeight="1">
      <x:c r="A158" s="80" t="str">
        <x:v>TITE | 2-stage highest utility</x:v>
      </x:c>
      <x:c r="B158" s="84" t="str">
        <x:f>'Source Data'!$M$24</x:f>
        <x:v>29.832</x:v>
      </x:c>
      <x:c r="C158" s="84" t="str">
        <x:f>'Source Data'!$N$24</x:f>
        <x:v>18.467</x:v>
      </x:c>
      <x:c r="D158" s="84" t="str">
        <x:f>'Source Data'!$O$24</x:f>
        <x:v>1123.73493583718</x:v>
      </x:c>
      <x:c r="E158" s="82"/>
      <x:c r="F158" s="82"/>
      <x:c r="G158" s="82"/>
    </x:row>
    <x:row r="159" ht="18" customHeight="1">
      <x:c r="A159" s="92" t="str">
        <x:v>New non-TITE | 2-stage highest utility</x:v>
      </x:c>
      <x:c r="B159" s="96" t="str">
        <x:f>'Source Data'!$M$25</x:f>
        <x:v>29.844</x:v>
      </x:c>
      <x:c r="C159" s="96" t="str">
        <x:f>'Source Data'!$N$25</x:f>
        <x:v>18.779</x:v>
      </x:c>
      <x:c r="D159" s="96" t="str">
        <x:f>'Source Data'!$O$25</x:f>
        <x:v>1034.0562</x:v>
      </x:c>
      <x:c r="E159" s="94"/>
      <x:c r="F159" s="94"/>
      <x:c r="G159" s="94"/>
    </x:row>
    <x:row r="160" ht="18" customHeight="1">
      <x:c r="A160" s="80" t="str">
        <x:v>TITE | 2-stage top-2 randomized</x:v>
      </x:c>
      <x:c r="B160" s="84" t="str">
        <x:f>'Source Data'!$M$36</x:f>
        <x:v>29.832</x:v>
      </x:c>
      <x:c r="C160" s="84" t="str">
        <x:f>'Source Data'!$N$36</x:f>
        <x:v>18.467</x:v>
      </x:c>
      <x:c r="D160" s="84" t="str">
        <x:f>'Source Data'!$O$36</x:f>
        <x:v>1123.73493583718</x:v>
      </x:c>
      <x:c r="E160" s="82"/>
      <x:c r="F160" s="82"/>
      <x:c r="G160" s="82"/>
    </x:row>
    <x:row r="161" ht="18" customHeight="1">
      <x:c r="A161" s="92" t="str">
        <x:v>New non-TITE | 2-stage top-2 randomized</x:v>
      </x:c>
      <x:c r="B161" s="96" t="str">
        <x:f>'Source Data'!$M$37</x:f>
        <x:v>29.844</x:v>
      </x:c>
      <x:c r="C161" s="96" t="str">
        <x:f>'Source Data'!$N$37</x:f>
        <x:v>18.53</x:v>
      </x:c>
      <x:c r="D161" s="96" t="str">
        <x:f>'Source Data'!$O$37</x:f>
        <x:v>1021.7263</x:v>
      </x:c>
      <x:c r="E161" s="94"/>
      <x:c r="F161" s="94"/>
      <x:c r="G161" s="94"/>
    </x:row>
  </x:sheetData>
  <x:mergeCells>
    <x:mergeCell ref="A1:G1"/>
    <x:mergeCell ref="A2:G2"/>
    <x:mergeCell ref="A4:G4"/>
    <x:mergeCell ref="A5:G5"/>
    <x:mergeCell ref="A8:G8"/>
    <x:mergeCell ref="A34:G34"/>
    <x:mergeCell ref="A60:G60"/>
    <x:mergeCell ref="A86:G86"/>
    <x:mergeCell ref="A112:G112"/>
    <x:mergeCell ref="A138:G138"/>
  </x:mergeCells>
  <x:pageMargins left="0.7" right="0.7" top="0.75" bottom="0.75" header="0.3" footer="0.3"/>
</x:worksheet>
</file>